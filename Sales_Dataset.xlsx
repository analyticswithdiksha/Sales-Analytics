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8_{1248AF25-236C-489D-BEAA-95479894EA52}" xr6:coauthVersionLast="36" xr6:coauthVersionMax="36" xr10:uidLastSave="{00000000-0000-0000-0000-000000000000}"/>
  <bookViews>
    <workbookView xWindow="0" yWindow="0" windowWidth="20490" windowHeight="7545" activeTab="1"/>
  </bookViews>
  <sheets>
    <sheet name="Dataset" sheetId="1" r:id="rId1"/>
    <sheet name="Summary_Analysis" sheetId="2" r:id="rId2"/>
  </sheets>
  <calcPr calcId="0"/>
  <pivotCaches>
    <pivotCache cacheId="13" r:id="rId3"/>
  </pivotCaches>
</workbook>
</file>

<file path=xl/calcChain.xml><?xml version="1.0" encoding="utf-8"?>
<calcChain xmlns="http://schemas.openxmlformats.org/spreadsheetml/2006/main">
  <c r="F2" i="2" l="1"/>
  <c r="E2" i="2"/>
  <c r="D2" i="2"/>
  <c r="B2" i="2"/>
  <c r="C2" i="2"/>
  <c r="A2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</calcChain>
</file>

<file path=xl/sharedStrings.xml><?xml version="1.0" encoding="utf-8"?>
<sst xmlns="http://schemas.openxmlformats.org/spreadsheetml/2006/main" count="7065" uniqueCount="80">
  <si>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</si>
  <si>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</si>
  <si>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</si>
  <si>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</si>
  <si>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</si>
  <si>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</si>
  <si>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</si>
  <si>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</si>
  <si>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</si>
  <si>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</si>
  <si>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</si>
  <si>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</si>
  <si>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</si>
  <si>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</si>
  <si>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</si>
  <si>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</si>
  <si>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</si>
  <si>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</si>
  <si>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</si>
  <si>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</si>
  <si>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</si>
  <si>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</si>
  <si>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</si>
  <si>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</si>
  <si>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</si>
  <si>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</si>
  <si>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</si>
  <si>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</si>
  <si>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</si>
  <si>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</si>
  <si>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</si>
  <si>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</si>
  <si>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</si>
  <si>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</si>
  <si>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</si>
  <si>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</si>
  <si>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</si>
  <si>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</si>
  <si>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</si>
  <si>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</si>
  <si>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</si>
  <si>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</si>
  <si>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</si>
  <si>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</si>
  <si>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</si>
  <si>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</si>
  <si>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</si>
  <si>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</si>
  <si>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</si>
  <si>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</si>
  <si>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</si>
  <si>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</si>
  <si>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</si>
  <si>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</si>
  <si>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Month</t>
  </si>
  <si>
    <t>Month number</t>
  </si>
  <si>
    <t>Year</t>
  </si>
  <si>
    <t>Total Sales</t>
  </si>
  <si>
    <t>Total Quantity</t>
  </si>
  <si>
    <t>Average Sale</t>
  </si>
  <si>
    <t>Maximum Sale</t>
  </si>
  <si>
    <t>Minimum Sale</t>
  </si>
  <si>
    <t>Total Transactions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</si>
  <si>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</si>
  <si>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</si>
  <si>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</si>
  <si>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</si>
  <si>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</si>
  <si>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</si>
  <si>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</si>
  <si>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</si>
  <si>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</si>
  <si>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</si>
  <si>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</si>
  <si>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</si>
  <si>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</si>
  <si>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Months</t>
  </si>
  <si>
    <t>Sales Rep</t>
  </si>
  <si>
    <t>Products category</t>
  </si>
  <si>
    <t>Customer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</si>
</sst>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C7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3" fillId="33" borderId="0" xfId="0" applyFont="1" applyFill="1" applyBorder="1" applyAlignment="1">
      <alignment horizontal="center"/>
    </xf>
    <xf numFmtId="165" fontId="13" fillId="33" borderId="0" xfId="0" applyNumberFormat="1" applyFont="1" applyFill="1" applyBorder="1" applyAlignment="1">
      <alignment horizontal="center"/>
    </xf>
    <xf numFmtId="2" fontId="13" fillId="34" borderId="0" xfId="0" applyNumberFormat="1" applyFont="1" applyFill="1" applyBorder="1" applyAlignment="1">
      <alignment horizontal="center"/>
    </xf>
    <xf numFmtId="165" fontId="13" fillId="35" borderId="0" xfId="0" applyNumberFormat="1" applyFont="1" applyFill="1" applyBorder="1" applyAlignment="1">
      <alignment horizontal="center"/>
    </xf>
    <xf numFmtId="165" fontId="13" fillId="36" borderId="0" xfId="0" applyNumberFormat="1" applyFont="1" applyFill="1" applyBorder="1" applyAlignment="1">
      <alignment horizontal="center"/>
    </xf>
    <xf numFmtId="165" fontId="13" fillId="37" borderId="0" xfId="0" applyNumberFormat="1" applyFont="1" applyFill="1" applyBorder="1" applyAlignment="1">
      <alignment horizontal="center"/>
    </xf>
    <xf numFmtId="165" fontId="13" fillId="38" borderId="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&quot;₹&quot;\ #,##0.00"/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&quot;₹&quot;\ #,##0.00"/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&quot;₹&quot;\ #,##0.00"/>
      <fill>
        <patternFill patternType="solid">
          <fgColor indexed="64"/>
          <bgColor rgb="FFEC72CC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&quot;₹&quot;\ #,##0.00"/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&quot;₹&quot;\ #,##0.0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165" formatCode="&quot;₹&quot;\ #,##0.00"/>
    </dxf>
    <dxf>
      <numFmt numFmtId="19" formatCode="dd/mm/yyyy"/>
    </dxf>
  </dxfs>
  <tableStyles count="0" defaultTableStyle="TableStyleMedium2" defaultPivotStyle="PivotStyleLight16"/>
  <colors>
    <mruColors>
      <color rgb="FFEC7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[Sales_Dataset.xlsx]Summary_Analysis!PivotTable1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Summary_Analysis!$B$7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Summary_Analysis!$A$8:$A$20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Summary_Analysis!$B$8:$B$20</c:f>
              <c:numCache>
                <c:formatCode>General</c:formatCode>
                <c:ptCount val="12"/>
                <c:pt idx="0">
                  <c:v>495420.37000000011</c:v>
                </c:pt>
                <c:pt idx="1">
                  <c:v>368919.35999999993</c:v>
                </c:pt>
                <c:pt idx="2">
                  <c:v>402638.77000000008</c:v>
                </c:pt>
                <c:pt idx="3">
                  <c:v>438992.61000000004</c:v>
                </c:pt>
                <c:pt idx="4">
                  <c:v>389078.75999999989</c:v>
                </c:pt>
                <c:pt idx="5">
                  <c:v>418458.34000000008</c:v>
                </c:pt>
                <c:pt idx="6">
                  <c:v>374242.88</c:v>
                </c:pt>
                <c:pt idx="7">
                  <c:v>443171.28</c:v>
                </c:pt>
                <c:pt idx="8">
                  <c:v>367837.60000000003</c:v>
                </c:pt>
                <c:pt idx="9">
                  <c:v>460378.78000000014</c:v>
                </c:pt>
                <c:pt idx="10">
                  <c:v>467482.89999999985</c:v>
                </c:pt>
                <c:pt idx="11">
                  <c:v>392643.57999999984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0-4626-A352-4BD5E38C8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530527"/>
        <c:axId val="364783167"/>
      </c:lineChart>
      <c:catAx>
        <c:axId val="101753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783167"/>
        <c:crosses val="autoZero"/>
        <c:auto val="1"/>
        <c:lblAlgn val="ctr"/>
        <c:lblOffset val="100"/>
        <c:noMultiLvlLbl val="0"/>
      </c:catAx>
      <c:valAx>
        <c:axId val="3647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3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76199</xdr:rowOff>
    </xdr:from>
    <xdr:to>
      <xdr:col>3</xdr:col>
      <xdr:colOff>371475</xdr:colOff>
      <xdr:row>33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B7FD8-1B20-4808-8BF9-32D761B69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come" refreshedDate="46196.955436458331" createdVersion="6" refreshedVersion="6" minRefreshableVersion="3" recordCount="1000">
  <cacheSource type="worksheet">
    <worksheetSource name="Table1"/>
  </cacheSource>
  <cacheFields count="17">
    <cacheField name="Product_ID" numFmtId="0">
      <sharedItems containsSemiMixedTypes="0" containsString="0" containsNumber="1" containsInteger="1" minValue="1001" maxValue="1100"/>
    </cacheField>
    <cacheField name="Sale_Date" numFmtId="14">
      <sharedItems containsSemiMixedTypes="0" containsNonDate="0" containsDate="1" containsString="0" minDate="2023-01-01T00:00:00" maxDate="2024-01-02T00:00:00"/>
    </cacheField>
    <cacheField name="Sales_Rep" numFmtId="0">
      <sharedItems count="5">
        <s v="Bob"/>
        <s v="David"/>
        <s v="Charlie"/>
        <s v="Eve"/>
        <s v="Alice"/>
      </sharedItems>
    </cacheField>
    <cacheField name="Region" numFmtId="0">
      <sharedItems count="4">
        <s v="North"/>
        <s v="West"/>
        <s v="South"/>
        <s v="East"/>
      </sharedItems>
    </cacheField>
    <cacheField name="Sales_Amount" numFmtId="165">
      <sharedItems containsSemiMixedTypes="0" containsString="0" containsNumber="1" minValue="100.12" maxValue="9989.0400000000009"/>
    </cacheField>
    <cacheField name="Quantity_Sold" numFmtId="2">
      <sharedItems containsSemiMixedTypes="0" containsString="0" containsNumber="1" containsInteger="1" minValue="1" maxValue="49"/>
    </cacheField>
    <cacheField name="Product_Category" numFmtId="0">
      <sharedItems count="4">
        <s v="Furniture"/>
        <s v="Food"/>
        <s v="Clothing"/>
        <s v="Electronics"/>
      </sharedItems>
    </cacheField>
    <cacheField name="Unit_Cost" numFmtId="0">
      <sharedItems containsSemiMixedTypes="0" containsString="0" containsNumber="1" minValue="60.28" maxValue="4995.3"/>
    </cacheField>
    <cacheField name="Unit_Price" numFmtId="0">
      <sharedItems containsSemiMixedTypes="0" containsString="0" containsNumber="1" minValue="167.12" maxValue="5442.15"/>
    </cacheField>
    <cacheField name="Customer_Type" numFmtId="0">
      <sharedItems count="2">
        <s v="Returning"/>
        <s v="New"/>
      </sharedItems>
    </cacheField>
    <cacheField name="Discount" numFmtId="10">
      <sharedItems containsSemiMixedTypes="0" containsString="0" containsNumber="1" minValue="0" maxValue="0.3"/>
    </cacheField>
    <cacheField name="Payment_Method" numFmtId="0">
      <sharedItems/>
    </cacheField>
    <cacheField name="Sales_Channel" numFmtId="0">
      <sharedItems count="2">
        <s v="Online"/>
        <s v="Retail"/>
      </sharedItems>
    </cacheField>
    <cacheField name="Region_and_Sales_Rep" numFmtId="0">
      <sharedItems/>
    </cacheField>
    <cacheField name="Month" numFmtId="0">
      <sharedItems count="12">
        <s v="February"/>
        <s v="April"/>
        <s v="September"/>
        <s v="August"/>
        <s v="March"/>
        <s v="January"/>
        <s v="June"/>
        <s v="October"/>
        <s v="November"/>
        <s v="December"/>
        <s v="May"/>
        <s v="July"/>
      </sharedItems>
    </cacheField>
    <cacheField name="Month number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52"/>
    <d v="2023-02-03T00:00:00"/>
    <x v="0"/>
    <x v="0"/>
    <n v="5053.97"/>
    <n v="18"/>
    <x v="0"/>
    <n v="152.75"/>
    <n v="267.22000000000003"/>
    <x v="0"/>
    <n v="0.09"/>
    <s v="Cash"/>
    <x v="0"/>
    <s v="North-Bob"/>
    <x v="0"/>
    <n v="2"/>
    <n v="2023"/>
  </r>
  <r>
    <n v="1093"/>
    <d v="2023-04-21T00:00:00"/>
    <x v="0"/>
    <x v="1"/>
    <n v="4384.0200000000004"/>
    <n v="17"/>
    <x v="0"/>
    <n v="3816.39"/>
    <n v="4209.4399999999996"/>
    <x v="0"/>
    <n v="0.11"/>
    <s v="Cash"/>
    <x v="1"/>
    <s v="West-Bob"/>
    <x v="1"/>
    <n v="4"/>
    <n v="2023"/>
  </r>
  <r>
    <n v="1015"/>
    <d v="2023-09-21T00:00:00"/>
    <x v="1"/>
    <x v="2"/>
    <n v="4631.2299999999996"/>
    <n v="30"/>
    <x v="1"/>
    <n v="261.56"/>
    <n v="371.4"/>
    <x v="0"/>
    <n v="0.2"/>
    <s v="Bank Transfer"/>
    <x v="1"/>
    <s v="South-David"/>
    <x v="2"/>
    <n v="9"/>
    <n v="2023"/>
  </r>
  <r>
    <n v="1072"/>
    <d v="2023-08-24T00:00:00"/>
    <x v="0"/>
    <x v="2"/>
    <n v="2167.94"/>
    <n v="39"/>
    <x v="2"/>
    <n v="4330.03"/>
    <n v="4467.75"/>
    <x v="1"/>
    <n v="0.02"/>
    <s v="Credit Card"/>
    <x v="1"/>
    <s v="South-Bob"/>
    <x v="3"/>
    <n v="8"/>
    <n v="2023"/>
  </r>
  <r>
    <n v="1061"/>
    <d v="2023-03-24T00:00:00"/>
    <x v="2"/>
    <x v="3"/>
    <n v="3750.2"/>
    <n v="13"/>
    <x v="3"/>
    <n v="637.37"/>
    <n v="692.71"/>
    <x v="1"/>
    <n v="0.08"/>
    <s v="Credit Card"/>
    <x v="0"/>
    <s v="East-Charlie"/>
    <x v="4"/>
    <n v="3"/>
    <n v="2023"/>
  </r>
  <r>
    <n v="1021"/>
    <d v="2023-02-11T00:00:00"/>
    <x v="2"/>
    <x v="1"/>
    <n v="3761.15"/>
    <n v="32"/>
    <x v="1"/>
    <n v="900.79"/>
    <n v="1106.51"/>
    <x v="1"/>
    <n v="0.21"/>
    <s v="Cash"/>
    <x v="0"/>
    <s v="West-Charlie"/>
    <x v="0"/>
    <n v="2"/>
    <n v="2023"/>
  </r>
  <r>
    <n v="1083"/>
    <d v="2023-04-11T00:00:00"/>
    <x v="0"/>
    <x v="1"/>
    <n v="618.30999999999995"/>
    <n v="29"/>
    <x v="0"/>
    <n v="2408.81"/>
    <n v="2624.09"/>
    <x v="0"/>
    <n v="0.14000000000000001"/>
    <s v="Cash"/>
    <x v="0"/>
    <s v="West-Bob"/>
    <x v="1"/>
    <n v="4"/>
    <n v="2023"/>
  </r>
  <r>
    <n v="1087"/>
    <d v="2023-01-06T00:00:00"/>
    <x v="3"/>
    <x v="2"/>
    <n v="7698.92"/>
    <n v="46"/>
    <x v="0"/>
    <n v="3702.51"/>
    <n v="3964.65"/>
    <x v="1"/>
    <n v="0.12"/>
    <s v="Bank Transfer"/>
    <x v="0"/>
    <s v="South-Eve"/>
    <x v="5"/>
    <n v="1"/>
    <n v="2023"/>
  </r>
  <r>
    <n v="1075"/>
    <d v="2023-06-29T00:00:00"/>
    <x v="1"/>
    <x v="2"/>
    <n v="4223.3900000000003"/>
    <n v="30"/>
    <x v="0"/>
    <n v="738.06"/>
    <n v="1095.44999999999"/>
    <x v="1"/>
    <n v="0.05"/>
    <s v="Bank Transfer"/>
    <x v="0"/>
    <s v="South-David"/>
    <x v="6"/>
    <n v="6"/>
    <n v="2023"/>
  </r>
  <r>
    <n v="1075"/>
    <d v="2023-10-09T00:00:00"/>
    <x v="2"/>
    <x v="1"/>
    <n v="8239.58"/>
    <n v="18"/>
    <x v="2"/>
    <n v="2228.35"/>
    <n v="2682.34"/>
    <x v="1"/>
    <n v="0.13"/>
    <s v="Bank Transfer"/>
    <x v="0"/>
    <s v="West-Charlie"/>
    <x v="7"/>
    <n v="10"/>
    <n v="2023"/>
  </r>
  <r>
    <n v="1088"/>
    <d v="2023-11-16T00:00:00"/>
    <x v="3"/>
    <x v="0"/>
    <n v="8518.4500000000007"/>
    <n v="13"/>
    <x v="0"/>
    <n v="2440.11"/>
    <n v="2517.6"/>
    <x v="1"/>
    <n v="0.23"/>
    <s v="Bank Transfer"/>
    <x v="1"/>
    <s v="North-Eve"/>
    <x v="8"/>
    <n v="11"/>
    <n v="2023"/>
  </r>
  <r>
    <n v="1100"/>
    <d v="2023-08-14T00:00:00"/>
    <x v="0"/>
    <x v="1"/>
    <n v="2198.7399999999998"/>
    <n v="43"/>
    <x v="1"/>
    <n v="1100.81"/>
    <n v="1137.44"/>
    <x v="0"/>
    <n v="0.08"/>
    <s v="Bank Transfer"/>
    <x v="0"/>
    <s v="West-Bob"/>
    <x v="3"/>
    <n v="8"/>
    <n v="2023"/>
  </r>
  <r>
    <n v="1024"/>
    <d v="2023-11-11T00:00:00"/>
    <x v="3"/>
    <x v="1"/>
    <n v="6607.8"/>
    <n v="21"/>
    <x v="1"/>
    <n v="622.01"/>
    <n v="641.09"/>
    <x v="0"/>
    <n v="0"/>
    <s v="Bank Transfer"/>
    <x v="1"/>
    <s v="West-Eve"/>
    <x v="8"/>
    <n v="11"/>
    <n v="2023"/>
  </r>
  <r>
    <n v="1003"/>
    <d v="2023-12-31T00:00:00"/>
    <x v="4"/>
    <x v="2"/>
    <n v="4775.59"/>
    <n v="30"/>
    <x v="0"/>
    <n v="4190.28"/>
    <n v="4270.6499999999996"/>
    <x v="1"/>
    <n v="0.2"/>
    <s v="Cash"/>
    <x v="0"/>
    <s v="South-Alice"/>
    <x v="9"/>
    <n v="12"/>
    <n v="2023"/>
  </r>
  <r>
    <n v="1022"/>
    <d v="2023-08-17T00:00:00"/>
    <x v="2"/>
    <x v="2"/>
    <n v="8813.5499999999993"/>
    <n v="21"/>
    <x v="1"/>
    <n v="2537.1999999999998"/>
    <n v="2869.6"/>
    <x v="1"/>
    <n v="0.28999999999999998"/>
    <s v="Bank Transfer"/>
    <x v="1"/>
    <s v="South-Charlie"/>
    <x v="3"/>
    <n v="8"/>
    <n v="2023"/>
  </r>
  <r>
    <n v="1053"/>
    <d v="2023-10-16T00:00:00"/>
    <x v="0"/>
    <x v="0"/>
    <n v="2235.83"/>
    <n v="48"/>
    <x v="0"/>
    <n v="121.19"/>
    <n v="487.65"/>
    <x v="1"/>
    <n v="0.18"/>
    <s v="Cash"/>
    <x v="1"/>
    <s v="North-Bob"/>
    <x v="7"/>
    <n v="10"/>
    <n v="2023"/>
  </r>
  <r>
    <n v="1002"/>
    <d v="2023-05-30T00:00:00"/>
    <x v="1"/>
    <x v="0"/>
    <n v="6810.35"/>
    <n v="17"/>
    <x v="0"/>
    <n v="4024.76"/>
    <n v="4420.1499999999996"/>
    <x v="0"/>
    <n v="0.04"/>
    <s v="Cash"/>
    <x v="0"/>
    <s v="North-David"/>
    <x v="10"/>
    <n v="5"/>
    <n v="2023"/>
  </r>
  <r>
    <n v="1088"/>
    <d v="2023-10-04T00:00:00"/>
    <x v="0"/>
    <x v="3"/>
    <n v="6116.75"/>
    <n v="40"/>
    <x v="3"/>
    <n v="4904.93"/>
    <n v="5034.3500000000004"/>
    <x v="1"/>
    <n v="0.1"/>
    <s v="Credit Card"/>
    <x v="1"/>
    <s v="East-Bob"/>
    <x v="7"/>
    <n v="10"/>
    <n v="2023"/>
  </r>
  <r>
    <n v="1030"/>
    <d v="2023-07-17T00:00:00"/>
    <x v="1"/>
    <x v="1"/>
    <n v="3023.48"/>
    <n v="19"/>
    <x v="2"/>
    <n v="3049.33"/>
    <n v="3209.22"/>
    <x v="0"/>
    <n v="0.26"/>
    <s v="Cash"/>
    <x v="0"/>
    <s v="West-David"/>
    <x v="11"/>
    <n v="7"/>
    <n v="2023"/>
  </r>
  <r>
    <n v="1038"/>
    <d v="2023-03-11T00:00:00"/>
    <x v="0"/>
    <x v="2"/>
    <n v="1452.35"/>
    <n v="15"/>
    <x v="2"/>
    <n v="2543.36"/>
    <n v="2790.1"/>
    <x v="0"/>
    <n v="7.0000000000000007E-2"/>
    <s v="Cash"/>
    <x v="0"/>
    <s v="South-Bob"/>
    <x v="4"/>
    <n v="3"/>
    <n v="2023"/>
  </r>
  <r>
    <n v="1002"/>
    <d v="2023-04-22T00:00:00"/>
    <x v="3"/>
    <x v="0"/>
    <n v="6551.23"/>
    <n v="9"/>
    <x v="3"/>
    <n v="4398.16"/>
    <n v="4439.12"/>
    <x v="1"/>
    <n v="0.18"/>
    <s v="Bank Transfer"/>
    <x v="0"/>
    <s v="North-Eve"/>
    <x v="1"/>
    <n v="4"/>
    <n v="2023"/>
  </r>
  <r>
    <n v="1064"/>
    <d v="2023-01-04T00:00:00"/>
    <x v="3"/>
    <x v="3"/>
    <n v="7412.11"/>
    <n v="10"/>
    <x v="3"/>
    <n v="4764.96"/>
    <n v="5074.42"/>
    <x v="1"/>
    <n v="0.12"/>
    <s v="Cash"/>
    <x v="0"/>
    <s v="East-Eve"/>
    <x v="5"/>
    <n v="1"/>
    <n v="2023"/>
  </r>
  <r>
    <n v="1060"/>
    <d v="2023-12-16T00:00:00"/>
    <x v="3"/>
    <x v="3"/>
    <n v="3224.71"/>
    <n v="44"/>
    <x v="2"/>
    <n v="3784.96"/>
    <n v="4276.99"/>
    <x v="1"/>
    <n v="0.06"/>
    <s v="Bank Transfer"/>
    <x v="1"/>
    <s v="East-Eve"/>
    <x v="9"/>
    <n v="12"/>
    <n v="2023"/>
  </r>
  <r>
    <n v="1021"/>
    <d v="2023-11-27T00:00:00"/>
    <x v="4"/>
    <x v="2"/>
    <n v="6483.84"/>
    <n v="31"/>
    <x v="0"/>
    <n v="2254.9899999999998"/>
    <n v="2441.79"/>
    <x v="0"/>
    <n v="0.24"/>
    <s v="Bank Transfer"/>
    <x v="0"/>
    <s v="South-Alice"/>
    <x v="8"/>
    <n v="11"/>
    <n v="2023"/>
  </r>
  <r>
    <n v="1033"/>
    <d v="2023-11-14T00:00:00"/>
    <x v="1"/>
    <x v="2"/>
    <n v="4011.8"/>
    <n v="23"/>
    <x v="0"/>
    <n v="2981.5"/>
    <n v="3360.4"/>
    <x v="0"/>
    <n v="0.22"/>
    <s v="Bank Transfer"/>
    <x v="1"/>
    <s v="South-David"/>
    <x v="8"/>
    <n v="11"/>
    <n v="2023"/>
  </r>
  <r>
    <n v="1076"/>
    <d v="2023-12-16T00:00:00"/>
    <x v="3"/>
    <x v="3"/>
    <n v="7160.75"/>
    <n v="30"/>
    <x v="2"/>
    <n v="3519.63"/>
    <n v="3774.65"/>
    <x v="1"/>
    <n v="0.2"/>
    <s v="Credit Card"/>
    <x v="1"/>
    <s v="East-Eve"/>
    <x v="9"/>
    <n v="12"/>
    <n v="2023"/>
  </r>
  <r>
    <n v="1058"/>
    <d v="2023-04-05T00:00:00"/>
    <x v="4"/>
    <x v="0"/>
    <n v="2072.23"/>
    <n v="33"/>
    <x v="0"/>
    <n v="1011.65"/>
    <n v="1084.28"/>
    <x v="0"/>
    <n v="7.0000000000000007E-2"/>
    <s v="Bank Transfer"/>
    <x v="1"/>
    <s v="North-Alice"/>
    <x v="1"/>
    <n v="4"/>
    <n v="2023"/>
  </r>
  <r>
    <n v="1022"/>
    <d v="2023-06-01T00:00:00"/>
    <x v="1"/>
    <x v="3"/>
    <n v="8913.1299999999992"/>
    <n v="9"/>
    <x v="3"/>
    <n v="2263.65"/>
    <n v="2558.9499999999998"/>
    <x v="1"/>
    <n v="0.03"/>
    <s v="Cash"/>
    <x v="0"/>
    <s v="East-David"/>
    <x v="6"/>
    <n v="6"/>
    <n v="2023"/>
  </r>
  <r>
    <n v="1089"/>
    <d v="2023-11-07T00:00:00"/>
    <x v="0"/>
    <x v="1"/>
    <n v="2945.36"/>
    <n v="47"/>
    <x v="0"/>
    <n v="4157.62"/>
    <n v="4314.5599999999904"/>
    <x v="1"/>
    <n v="0.17"/>
    <s v="Bank Transfer"/>
    <x v="1"/>
    <s v="West-Bob"/>
    <x v="8"/>
    <n v="11"/>
    <n v="2023"/>
  </r>
  <r>
    <n v="1049"/>
    <d v="2023-05-17T00:00:00"/>
    <x v="4"/>
    <x v="1"/>
    <n v="3741.08"/>
    <n v="1"/>
    <x v="0"/>
    <n v="3290.89"/>
    <n v="3317.75"/>
    <x v="0"/>
    <n v="0.17"/>
    <s v="Bank Transfer"/>
    <x v="0"/>
    <s v="West-Alice"/>
    <x v="10"/>
    <n v="5"/>
    <n v="2023"/>
  </r>
  <r>
    <n v="1091"/>
    <d v="2023-09-04T00:00:00"/>
    <x v="2"/>
    <x v="2"/>
    <n v="675.11"/>
    <n v="44"/>
    <x v="1"/>
    <n v="2085.46"/>
    <n v="2406.58"/>
    <x v="0"/>
    <n v="0.06"/>
    <s v="Bank Transfer"/>
    <x v="1"/>
    <s v="South-Charlie"/>
    <x v="2"/>
    <n v="9"/>
    <n v="2023"/>
  </r>
  <r>
    <n v="1059"/>
    <d v="2023-08-31T00:00:00"/>
    <x v="4"/>
    <x v="0"/>
    <n v="1203.97"/>
    <n v="35"/>
    <x v="1"/>
    <n v="3333.64"/>
    <n v="3764.52"/>
    <x v="0"/>
    <n v="0.02"/>
    <s v="Credit Card"/>
    <x v="0"/>
    <s v="North-Alice"/>
    <x v="3"/>
    <n v="8"/>
    <n v="2023"/>
  </r>
  <r>
    <n v="1042"/>
    <d v="2023-01-31T00:00:00"/>
    <x v="4"/>
    <x v="0"/>
    <n v="5207.03"/>
    <n v="11"/>
    <x v="1"/>
    <n v="635.20000000000005"/>
    <n v="814.14"/>
    <x v="0"/>
    <n v="0.02"/>
    <s v="Cash"/>
    <x v="0"/>
    <s v="North-Alice"/>
    <x v="5"/>
    <n v="1"/>
    <n v="2023"/>
  </r>
  <r>
    <n v="1092"/>
    <d v="2023-02-09T00:00:00"/>
    <x v="1"/>
    <x v="1"/>
    <n v="2749.17"/>
    <n v="34"/>
    <x v="0"/>
    <n v="2037.41"/>
    <n v="2238.65"/>
    <x v="1"/>
    <n v="0.3"/>
    <s v="Credit Card"/>
    <x v="0"/>
    <s v="West-David"/>
    <x v="0"/>
    <n v="2"/>
    <n v="2023"/>
  </r>
  <r>
    <n v="1060"/>
    <d v="2023-08-17T00:00:00"/>
    <x v="0"/>
    <x v="3"/>
    <n v="8371.25"/>
    <n v="16"/>
    <x v="2"/>
    <n v="3975.99"/>
    <n v="4422.59"/>
    <x v="1"/>
    <n v="0.24"/>
    <s v="Cash"/>
    <x v="0"/>
    <s v="East-Bob"/>
    <x v="3"/>
    <n v="8"/>
    <n v="2023"/>
  </r>
  <r>
    <n v="1080"/>
    <d v="2023-02-05T00:00:00"/>
    <x v="2"/>
    <x v="2"/>
    <n v="245.46"/>
    <n v="9"/>
    <x v="3"/>
    <n v="1141.52"/>
    <n v="1550.19"/>
    <x v="1"/>
    <n v="0.28000000000000003"/>
    <s v="Credit Card"/>
    <x v="1"/>
    <s v="South-Charlie"/>
    <x v="0"/>
    <n v="2"/>
    <n v="2023"/>
  </r>
  <r>
    <n v="1015"/>
    <d v="2023-08-11T00:00:00"/>
    <x v="3"/>
    <x v="3"/>
    <n v="3853.03"/>
    <n v="32"/>
    <x v="0"/>
    <n v="970.51"/>
    <n v="1330.84"/>
    <x v="0"/>
    <n v="0.06"/>
    <s v="Cash"/>
    <x v="1"/>
    <s v="East-Eve"/>
    <x v="3"/>
    <n v="8"/>
    <n v="2023"/>
  </r>
  <r>
    <n v="1062"/>
    <d v="2023-01-06T00:00:00"/>
    <x v="3"/>
    <x v="3"/>
    <n v="3439.72"/>
    <n v="15"/>
    <x v="2"/>
    <n v="4756.55"/>
    <n v="4888.46"/>
    <x v="1"/>
    <n v="0.28999999999999998"/>
    <s v="Credit Card"/>
    <x v="0"/>
    <s v="East-Eve"/>
    <x v="5"/>
    <n v="1"/>
    <n v="2023"/>
  </r>
  <r>
    <n v="1062"/>
    <d v="2023-11-18T00:00:00"/>
    <x v="4"/>
    <x v="3"/>
    <n v="291.33999999999997"/>
    <n v="12"/>
    <x v="0"/>
    <n v="1088.99"/>
    <n v="1545"/>
    <x v="0"/>
    <n v="0.04"/>
    <s v="Bank Transfer"/>
    <x v="1"/>
    <s v="East-Alice"/>
    <x v="8"/>
    <n v="11"/>
    <n v="2023"/>
  </r>
  <r>
    <n v="1047"/>
    <d v="2023-08-08T00:00:00"/>
    <x v="1"/>
    <x v="0"/>
    <n v="1331.25"/>
    <n v="33"/>
    <x v="3"/>
    <n v="1341.55"/>
    <n v="1427.21"/>
    <x v="0"/>
    <n v="0.15"/>
    <s v="Credit Card"/>
    <x v="0"/>
    <s v="North-David"/>
    <x v="3"/>
    <n v="8"/>
    <n v="2023"/>
  </r>
  <r>
    <n v="1062"/>
    <d v="2023-03-16T00:00:00"/>
    <x v="1"/>
    <x v="1"/>
    <n v="4195.0600000000004"/>
    <n v="45"/>
    <x v="0"/>
    <n v="4849.6000000000004"/>
    <n v="5166.72"/>
    <x v="0"/>
    <n v="0.25"/>
    <s v="Credit Card"/>
    <x v="0"/>
    <s v="West-David"/>
    <x v="4"/>
    <n v="3"/>
    <n v="2023"/>
  </r>
  <r>
    <n v="1051"/>
    <d v="2023-01-04T00:00:00"/>
    <x v="3"/>
    <x v="0"/>
    <n v="4979.3599999999997"/>
    <n v="14"/>
    <x v="3"/>
    <n v="3686.81"/>
    <n v="3710.92"/>
    <x v="1"/>
    <n v="0.1"/>
    <s v="Bank Transfer"/>
    <x v="1"/>
    <s v="North-Eve"/>
    <x v="5"/>
    <n v="1"/>
    <n v="2023"/>
  </r>
  <r>
    <n v="1055"/>
    <d v="2023-12-01T00:00:00"/>
    <x v="2"/>
    <x v="1"/>
    <n v="4102.47"/>
    <n v="8"/>
    <x v="0"/>
    <n v="3513"/>
    <n v="3838.42"/>
    <x v="0"/>
    <n v="0.13"/>
    <s v="Bank Transfer"/>
    <x v="0"/>
    <s v="West-Charlie"/>
    <x v="9"/>
    <n v="12"/>
    <n v="2023"/>
  </r>
  <r>
    <n v="1064"/>
    <d v="2023-05-14T00:00:00"/>
    <x v="0"/>
    <x v="2"/>
    <n v="5356.28"/>
    <n v="8"/>
    <x v="3"/>
    <n v="4271.99"/>
    <n v="4417.79"/>
    <x v="0"/>
    <n v="0.04"/>
    <s v="Cash"/>
    <x v="0"/>
    <s v="South-Bob"/>
    <x v="10"/>
    <n v="5"/>
    <n v="2023"/>
  </r>
  <r>
    <n v="1003"/>
    <d v="2023-04-28T00:00:00"/>
    <x v="2"/>
    <x v="2"/>
    <n v="5991.8"/>
    <n v="27"/>
    <x v="0"/>
    <n v="623.32000000000005"/>
    <n v="853.66"/>
    <x v="0"/>
    <n v="0.04"/>
    <s v="Cash"/>
    <x v="0"/>
    <s v="South-Charlie"/>
    <x v="1"/>
    <n v="4"/>
    <n v="2023"/>
  </r>
  <r>
    <n v="1051"/>
    <d v="2023-04-04T00:00:00"/>
    <x v="0"/>
    <x v="3"/>
    <n v="198.25"/>
    <n v="12"/>
    <x v="3"/>
    <n v="3544.48"/>
    <n v="3723.66"/>
    <x v="0"/>
    <n v="0.19"/>
    <s v="Cash"/>
    <x v="0"/>
    <s v="East-Bob"/>
    <x v="1"/>
    <n v="4"/>
    <n v="2023"/>
  </r>
  <r>
    <n v="1007"/>
    <d v="2023-03-03T00:00:00"/>
    <x v="3"/>
    <x v="1"/>
    <n v="4694.54"/>
    <n v="1"/>
    <x v="1"/>
    <n v="2543.2600000000002"/>
    <n v="2637.91"/>
    <x v="0"/>
    <n v="0.2"/>
    <s v="Credit Card"/>
    <x v="0"/>
    <s v="West-Eve"/>
    <x v="4"/>
    <n v="3"/>
    <n v="2023"/>
  </r>
  <r>
    <n v="1021"/>
    <d v="2023-07-13T00:00:00"/>
    <x v="0"/>
    <x v="1"/>
    <n v="9638.64"/>
    <n v="43"/>
    <x v="0"/>
    <n v="4154.3"/>
    <n v="4469.07"/>
    <x v="0"/>
    <n v="0.23"/>
    <s v="Cash"/>
    <x v="1"/>
    <s v="West-Bob"/>
    <x v="11"/>
    <n v="7"/>
    <n v="2023"/>
  </r>
  <r>
    <n v="1073"/>
    <d v="2023-12-01T00:00:00"/>
    <x v="1"/>
    <x v="1"/>
    <n v="5238.42"/>
    <n v="40"/>
    <x v="0"/>
    <n v="2565.3000000000002"/>
    <n v="3007.47"/>
    <x v="0"/>
    <n v="0.17"/>
    <s v="Credit Card"/>
    <x v="1"/>
    <s v="West-David"/>
    <x v="9"/>
    <n v="12"/>
    <n v="2023"/>
  </r>
  <r>
    <n v="1039"/>
    <d v="2023-07-22T00:00:00"/>
    <x v="4"/>
    <x v="3"/>
    <n v="6807.67"/>
    <n v="42"/>
    <x v="2"/>
    <n v="3120.19"/>
    <n v="3600.14"/>
    <x v="0"/>
    <n v="0.19"/>
    <s v="Credit Card"/>
    <x v="1"/>
    <s v="East-Alice"/>
    <x v="11"/>
    <n v="7"/>
    <n v="2023"/>
  </r>
  <r>
    <n v="1018"/>
    <d v="2023-01-26T00:00:00"/>
    <x v="4"/>
    <x v="3"/>
    <n v="3187.45"/>
    <n v="11"/>
    <x v="2"/>
    <n v="2414.8200000000002"/>
    <n v="2519.0700000000002"/>
    <x v="0"/>
    <n v="0"/>
    <s v="Cash"/>
    <x v="0"/>
    <s v="East-Alice"/>
    <x v="5"/>
    <n v="1"/>
    <n v="2023"/>
  </r>
  <r>
    <n v="1004"/>
    <d v="2023-06-22T00:00:00"/>
    <x v="3"/>
    <x v="2"/>
    <n v="7762.51"/>
    <n v="39"/>
    <x v="3"/>
    <n v="2416.89"/>
    <n v="2778.3999999999901"/>
    <x v="0"/>
    <n v="0.05"/>
    <s v="Cash"/>
    <x v="0"/>
    <s v="South-Eve"/>
    <x v="6"/>
    <n v="6"/>
    <n v="2023"/>
  </r>
  <r>
    <n v="1089"/>
    <d v="2023-10-27T00:00:00"/>
    <x v="1"/>
    <x v="0"/>
    <n v="7751.92"/>
    <n v="43"/>
    <x v="0"/>
    <n v="3851.45"/>
    <n v="4186.9799999999996"/>
    <x v="0"/>
    <n v="0.3"/>
    <s v="Credit Card"/>
    <x v="0"/>
    <s v="North-David"/>
    <x v="7"/>
    <n v="10"/>
    <n v="2023"/>
  </r>
  <r>
    <n v="1060"/>
    <d v="2023-05-13T00:00:00"/>
    <x v="2"/>
    <x v="1"/>
    <n v="5260.83"/>
    <n v="31"/>
    <x v="3"/>
    <n v="3161.4"/>
    <n v="3339.66"/>
    <x v="0"/>
    <n v="0.02"/>
    <s v="Bank Transfer"/>
    <x v="0"/>
    <s v="West-Charlie"/>
    <x v="10"/>
    <n v="5"/>
    <n v="2023"/>
  </r>
  <r>
    <n v="1014"/>
    <d v="2023-11-22T00:00:00"/>
    <x v="1"/>
    <x v="1"/>
    <n v="9762.5400000000009"/>
    <n v="17"/>
    <x v="1"/>
    <n v="3184.65"/>
    <n v="3204.01"/>
    <x v="1"/>
    <n v="0.2"/>
    <s v="Bank Transfer"/>
    <x v="0"/>
    <s v="West-David"/>
    <x v="8"/>
    <n v="11"/>
    <n v="2023"/>
  </r>
  <r>
    <n v="1009"/>
    <d v="2023-04-28T00:00:00"/>
    <x v="4"/>
    <x v="0"/>
    <n v="1342.95"/>
    <n v="33"/>
    <x v="2"/>
    <n v="2278.9"/>
    <n v="2626.9"/>
    <x v="1"/>
    <n v="0.05"/>
    <s v="Credit Card"/>
    <x v="0"/>
    <s v="North-Alice"/>
    <x v="1"/>
    <n v="4"/>
    <n v="2023"/>
  </r>
  <r>
    <n v="1090"/>
    <d v="2023-11-20T00:00:00"/>
    <x v="4"/>
    <x v="1"/>
    <n v="267.77999999999997"/>
    <n v="32"/>
    <x v="3"/>
    <n v="2678.99"/>
    <n v="3152.2799999999902"/>
    <x v="0"/>
    <n v="0.22"/>
    <s v="Cash"/>
    <x v="1"/>
    <s v="West-Alice"/>
    <x v="8"/>
    <n v="11"/>
    <n v="2023"/>
  </r>
  <r>
    <n v="1053"/>
    <d v="2023-10-02T00:00:00"/>
    <x v="1"/>
    <x v="3"/>
    <n v="7724.57"/>
    <n v="29"/>
    <x v="3"/>
    <n v="3741.3"/>
    <n v="4061.04"/>
    <x v="0"/>
    <n v="0.21"/>
    <s v="Credit Card"/>
    <x v="0"/>
    <s v="East-David"/>
    <x v="7"/>
    <n v="10"/>
    <n v="2023"/>
  </r>
  <r>
    <n v="1002"/>
    <d v="2023-07-31T00:00:00"/>
    <x v="1"/>
    <x v="3"/>
    <n v="8090.84"/>
    <n v="21"/>
    <x v="2"/>
    <n v="4138.41"/>
    <n v="4361.7"/>
    <x v="0"/>
    <n v="7.0000000000000007E-2"/>
    <s v="Credit Card"/>
    <x v="1"/>
    <s v="East-David"/>
    <x v="11"/>
    <n v="7"/>
    <n v="2023"/>
  </r>
  <r>
    <n v="1084"/>
    <d v="2023-08-13T00:00:00"/>
    <x v="4"/>
    <x v="1"/>
    <n v="1290.05"/>
    <n v="21"/>
    <x v="0"/>
    <n v="3497.98"/>
    <n v="3765.31"/>
    <x v="1"/>
    <n v="0.08"/>
    <s v="Cash"/>
    <x v="0"/>
    <s v="West-Alice"/>
    <x v="3"/>
    <n v="8"/>
    <n v="2023"/>
  </r>
  <r>
    <n v="1092"/>
    <d v="2023-01-20T00:00:00"/>
    <x v="2"/>
    <x v="3"/>
    <n v="2729.27"/>
    <n v="40"/>
    <x v="3"/>
    <n v="4624.16"/>
    <n v="4731.9799999999996"/>
    <x v="1"/>
    <n v="0.2"/>
    <s v="Bank Transfer"/>
    <x v="1"/>
    <s v="East-Charlie"/>
    <x v="5"/>
    <n v="1"/>
    <n v="2023"/>
  </r>
  <r>
    <n v="1060"/>
    <d v="2023-04-23T00:00:00"/>
    <x v="3"/>
    <x v="3"/>
    <n v="273.77"/>
    <n v="23"/>
    <x v="2"/>
    <n v="4110.6000000000004"/>
    <n v="4488.37"/>
    <x v="1"/>
    <n v="0.12"/>
    <s v="Credit Card"/>
    <x v="0"/>
    <s v="East-Eve"/>
    <x v="1"/>
    <n v="4"/>
    <n v="2023"/>
  </r>
  <r>
    <n v="1071"/>
    <d v="2023-05-20T00:00:00"/>
    <x v="3"/>
    <x v="1"/>
    <n v="3003.76"/>
    <n v="6"/>
    <x v="0"/>
    <n v="2831.23"/>
    <n v="3206.98"/>
    <x v="0"/>
    <n v="0.06"/>
    <s v="Bank Transfer"/>
    <x v="1"/>
    <s v="West-Eve"/>
    <x v="10"/>
    <n v="5"/>
    <n v="2023"/>
  </r>
  <r>
    <n v="1044"/>
    <d v="2023-02-16T00:00:00"/>
    <x v="1"/>
    <x v="2"/>
    <n v="7754.1"/>
    <n v="22"/>
    <x v="1"/>
    <n v="3373.46"/>
    <n v="3454.76"/>
    <x v="0"/>
    <n v="0.22"/>
    <s v="Bank Transfer"/>
    <x v="1"/>
    <s v="South-David"/>
    <x v="0"/>
    <n v="2"/>
    <n v="2023"/>
  </r>
  <r>
    <n v="1008"/>
    <d v="2023-01-01T00:00:00"/>
    <x v="3"/>
    <x v="0"/>
    <n v="5227.8100000000004"/>
    <n v="38"/>
    <x v="2"/>
    <n v="4635.2299999999996"/>
    <n v="5075.4399999999996"/>
    <x v="0"/>
    <n v="0.05"/>
    <s v="Cash"/>
    <x v="0"/>
    <s v="North-Eve"/>
    <x v="5"/>
    <n v="1"/>
    <n v="2023"/>
  </r>
  <r>
    <n v="1047"/>
    <d v="2023-03-31T00:00:00"/>
    <x v="4"/>
    <x v="3"/>
    <n v="3546.15"/>
    <n v="37"/>
    <x v="3"/>
    <n v="3114.88"/>
    <n v="3256.78"/>
    <x v="0"/>
    <n v="0.26"/>
    <s v="Credit Card"/>
    <x v="0"/>
    <s v="East-Alice"/>
    <x v="4"/>
    <n v="3"/>
    <n v="2023"/>
  </r>
  <r>
    <n v="1035"/>
    <d v="2023-05-22T00:00:00"/>
    <x v="4"/>
    <x v="2"/>
    <n v="3780.22"/>
    <n v="45"/>
    <x v="1"/>
    <n v="4132.79"/>
    <n v="4624.1000000000004"/>
    <x v="1"/>
    <n v="0.15"/>
    <s v="Credit Card"/>
    <x v="1"/>
    <s v="South-Alice"/>
    <x v="10"/>
    <n v="5"/>
    <n v="2023"/>
  </r>
  <r>
    <n v="1078"/>
    <d v="2023-11-16T00:00:00"/>
    <x v="1"/>
    <x v="3"/>
    <n v="113.4"/>
    <n v="8"/>
    <x v="0"/>
    <n v="3459.61"/>
    <n v="3657.23"/>
    <x v="0"/>
    <n v="0.03"/>
    <s v="Bank Transfer"/>
    <x v="0"/>
    <s v="East-David"/>
    <x v="8"/>
    <n v="11"/>
    <n v="2023"/>
  </r>
  <r>
    <n v="1081"/>
    <d v="2023-02-07T00:00:00"/>
    <x v="1"/>
    <x v="3"/>
    <n v="3068.03"/>
    <n v="41"/>
    <x v="0"/>
    <n v="2782.08"/>
    <n v="2879.24"/>
    <x v="1"/>
    <n v="0.21"/>
    <s v="Bank Transfer"/>
    <x v="0"/>
    <s v="East-David"/>
    <x v="0"/>
    <n v="2"/>
    <n v="2023"/>
  </r>
  <r>
    <n v="1036"/>
    <d v="2023-10-20T00:00:00"/>
    <x v="1"/>
    <x v="0"/>
    <n v="6499.94"/>
    <n v="49"/>
    <x v="2"/>
    <n v="1247.0999999999999"/>
    <n v="1429.4399999999901"/>
    <x v="1"/>
    <n v="0.16"/>
    <s v="Cash"/>
    <x v="0"/>
    <s v="North-David"/>
    <x v="7"/>
    <n v="10"/>
    <n v="2023"/>
  </r>
  <r>
    <n v="1050"/>
    <d v="2023-05-19T00:00:00"/>
    <x v="2"/>
    <x v="3"/>
    <n v="9744.52"/>
    <n v="35"/>
    <x v="2"/>
    <n v="2158.69"/>
    <n v="2384.38"/>
    <x v="0"/>
    <n v="0.09"/>
    <s v="Bank Transfer"/>
    <x v="1"/>
    <s v="East-Charlie"/>
    <x v="10"/>
    <n v="5"/>
    <n v="2023"/>
  </r>
  <r>
    <n v="1004"/>
    <d v="2023-12-22T00:00:00"/>
    <x v="3"/>
    <x v="0"/>
    <n v="8485.9"/>
    <n v="11"/>
    <x v="2"/>
    <n v="4840.33"/>
    <n v="4884.29"/>
    <x v="1"/>
    <n v="0.13"/>
    <s v="Cash"/>
    <x v="0"/>
    <s v="North-Eve"/>
    <x v="9"/>
    <n v="12"/>
    <n v="2023"/>
  </r>
  <r>
    <n v="1002"/>
    <d v="2023-11-29T00:00:00"/>
    <x v="1"/>
    <x v="0"/>
    <n v="333.59"/>
    <n v="24"/>
    <x v="0"/>
    <n v="3305.94"/>
    <n v="3599.27"/>
    <x v="1"/>
    <n v="0.09"/>
    <s v="Credit Card"/>
    <x v="1"/>
    <s v="North-David"/>
    <x v="8"/>
    <n v="11"/>
    <n v="2023"/>
  </r>
  <r>
    <n v="1006"/>
    <d v="2023-09-16T00:00:00"/>
    <x v="0"/>
    <x v="0"/>
    <n v="8995.75"/>
    <n v="49"/>
    <x v="1"/>
    <n v="2843.76"/>
    <n v="3146.6"/>
    <x v="1"/>
    <n v="0.08"/>
    <s v="Cash"/>
    <x v="1"/>
    <s v="North-Bob"/>
    <x v="2"/>
    <n v="9"/>
    <n v="2023"/>
  </r>
  <r>
    <n v="1054"/>
    <d v="2023-06-10T00:00:00"/>
    <x v="0"/>
    <x v="2"/>
    <n v="7853.66"/>
    <n v="21"/>
    <x v="0"/>
    <n v="4668.1400000000003"/>
    <n v="5040.22"/>
    <x v="1"/>
    <n v="0.05"/>
    <s v="Bank Transfer"/>
    <x v="0"/>
    <s v="South-Bob"/>
    <x v="6"/>
    <n v="6"/>
    <n v="2023"/>
  </r>
  <r>
    <n v="1004"/>
    <d v="2023-06-27T00:00:00"/>
    <x v="4"/>
    <x v="1"/>
    <n v="7825.72"/>
    <n v="2"/>
    <x v="3"/>
    <n v="2953.23"/>
    <n v="2977.52"/>
    <x v="0"/>
    <n v="0.11"/>
    <s v="Credit Card"/>
    <x v="1"/>
    <s v="West-Alice"/>
    <x v="6"/>
    <n v="6"/>
    <n v="2023"/>
  </r>
  <r>
    <n v="1054"/>
    <d v="2023-01-10T00:00:00"/>
    <x v="3"/>
    <x v="2"/>
    <n v="4634.16"/>
    <n v="40"/>
    <x v="0"/>
    <n v="2654.11"/>
    <n v="2929.32"/>
    <x v="0"/>
    <n v="0.08"/>
    <s v="Cash"/>
    <x v="0"/>
    <s v="South-Eve"/>
    <x v="5"/>
    <n v="1"/>
    <n v="2023"/>
  </r>
  <r>
    <n v="1093"/>
    <d v="2023-09-18T00:00:00"/>
    <x v="1"/>
    <x v="1"/>
    <n v="4040.25"/>
    <n v="19"/>
    <x v="3"/>
    <n v="3808.59"/>
    <n v="3844.51"/>
    <x v="1"/>
    <n v="0.21"/>
    <s v="Credit Card"/>
    <x v="0"/>
    <s v="West-David"/>
    <x v="2"/>
    <n v="9"/>
    <n v="2023"/>
  </r>
  <r>
    <n v="1063"/>
    <d v="2023-05-18T00:00:00"/>
    <x v="0"/>
    <x v="1"/>
    <n v="3098.87"/>
    <n v="39"/>
    <x v="1"/>
    <n v="3577.69"/>
    <n v="3931.25"/>
    <x v="0"/>
    <n v="0.21"/>
    <s v="Cash"/>
    <x v="1"/>
    <s v="West-Bob"/>
    <x v="10"/>
    <n v="5"/>
    <n v="2023"/>
  </r>
  <r>
    <n v="1018"/>
    <d v="2023-06-21T00:00:00"/>
    <x v="3"/>
    <x v="0"/>
    <n v="750.38"/>
    <n v="28"/>
    <x v="2"/>
    <n v="1006.14"/>
    <n v="1043.45"/>
    <x v="1"/>
    <n v="0.15"/>
    <s v="Bank Transfer"/>
    <x v="1"/>
    <s v="North-Eve"/>
    <x v="6"/>
    <n v="6"/>
    <n v="2023"/>
  </r>
  <r>
    <n v="1090"/>
    <d v="2023-01-13T00:00:00"/>
    <x v="4"/>
    <x v="3"/>
    <n v="2359.5300000000002"/>
    <n v="17"/>
    <x v="2"/>
    <n v="2382.98"/>
    <n v="2839.73"/>
    <x v="0"/>
    <n v="0.23"/>
    <s v="Bank Transfer"/>
    <x v="1"/>
    <s v="East-Alice"/>
    <x v="5"/>
    <n v="1"/>
    <n v="2023"/>
  </r>
  <r>
    <n v="1044"/>
    <d v="2023-06-17T00:00:00"/>
    <x v="2"/>
    <x v="0"/>
    <n v="2541.38"/>
    <n v="6"/>
    <x v="0"/>
    <n v="2388.9499999999998"/>
    <n v="2742.97"/>
    <x v="0"/>
    <n v="0.25"/>
    <s v="Credit Card"/>
    <x v="1"/>
    <s v="North-Charlie"/>
    <x v="6"/>
    <n v="6"/>
    <n v="2023"/>
  </r>
  <r>
    <n v="1034"/>
    <d v="2023-05-10T00:00:00"/>
    <x v="3"/>
    <x v="3"/>
    <n v="4892.3599999999997"/>
    <n v="19"/>
    <x v="2"/>
    <n v="1922.21"/>
    <n v="2180.83"/>
    <x v="0"/>
    <n v="0.17"/>
    <s v="Credit Card"/>
    <x v="1"/>
    <s v="East-Eve"/>
    <x v="10"/>
    <n v="5"/>
    <n v="2023"/>
  </r>
  <r>
    <n v="1074"/>
    <d v="2023-03-25T00:00:00"/>
    <x v="3"/>
    <x v="1"/>
    <n v="7499.7"/>
    <n v="38"/>
    <x v="1"/>
    <n v="2610.6"/>
    <n v="2836.94"/>
    <x v="0"/>
    <n v="0.19"/>
    <s v="Credit Card"/>
    <x v="0"/>
    <s v="West-Eve"/>
    <x v="4"/>
    <n v="3"/>
    <n v="2023"/>
  </r>
  <r>
    <n v="1062"/>
    <d v="2023-11-17T00:00:00"/>
    <x v="2"/>
    <x v="0"/>
    <n v="4790.72"/>
    <n v="28"/>
    <x v="2"/>
    <n v="2094.88"/>
    <n v="2168.91"/>
    <x v="0"/>
    <n v="0.08"/>
    <s v="Cash"/>
    <x v="1"/>
    <s v="North-Charlie"/>
    <x v="8"/>
    <n v="11"/>
    <n v="2023"/>
  </r>
  <r>
    <n v="1100"/>
    <d v="2023-11-15T00:00:00"/>
    <x v="3"/>
    <x v="3"/>
    <n v="672.66"/>
    <n v="2"/>
    <x v="0"/>
    <n v="1036.76"/>
    <n v="1189.3499999999999"/>
    <x v="1"/>
    <n v="0.27"/>
    <s v="Bank Transfer"/>
    <x v="0"/>
    <s v="East-Eve"/>
    <x v="8"/>
    <n v="11"/>
    <n v="2023"/>
  </r>
  <r>
    <n v="1014"/>
    <d v="2023-04-11T00:00:00"/>
    <x v="4"/>
    <x v="2"/>
    <n v="9582.1200000000008"/>
    <n v="38"/>
    <x v="1"/>
    <n v="2091.21"/>
    <n v="2527"/>
    <x v="0"/>
    <n v="0.01"/>
    <s v="Credit Card"/>
    <x v="0"/>
    <s v="South-Alice"/>
    <x v="1"/>
    <n v="4"/>
    <n v="2023"/>
  </r>
  <r>
    <n v="1095"/>
    <d v="2023-11-25T00:00:00"/>
    <x v="4"/>
    <x v="3"/>
    <n v="9432.9699999999993"/>
    <n v="37"/>
    <x v="3"/>
    <n v="407.77"/>
    <n v="860.95"/>
    <x v="1"/>
    <n v="0.1"/>
    <s v="Credit Card"/>
    <x v="1"/>
    <s v="East-Alice"/>
    <x v="8"/>
    <n v="11"/>
    <n v="2023"/>
  </r>
  <r>
    <n v="1048"/>
    <d v="2023-09-30T00:00:00"/>
    <x v="2"/>
    <x v="0"/>
    <n v="7873.38"/>
    <n v="4"/>
    <x v="0"/>
    <n v="2900.14"/>
    <n v="2910.5099999999902"/>
    <x v="1"/>
    <n v="0.22"/>
    <s v="Credit Card"/>
    <x v="1"/>
    <s v="North-Charlie"/>
    <x v="2"/>
    <n v="9"/>
    <n v="2023"/>
  </r>
  <r>
    <n v="1015"/>
    <d v="2023-09-22T00:00:00"/>
    <x v="1"/>
    <x v="2"/>
    <n v="9914.15"/>
    <n v="22"/>
    <x v="3"/>
    <n v="4275.59"/>
    <n v="4576.72"/>
    <x v="0"/>
    <n v="0.02"/>
    <s v="Cash"/>
    <x v="1"/>
    <s v="South-David"/>
    <x v="2"/>
    <n v="9"/>
    <n v="2023"/>
  </r>
  <r>
    <n v="1072"/>
    <d v="2023-02-07T00:00:00"/>
    <x v="0"/>
    <x v="3"/>
    <n v="5490.38"/>
    <n v="26"/>
    <x v="1"/>
    <n v="3640.17"/>
    <n v="4002.63"/>
    <x v="1"/>
    <n v="0.05"/>
    <s v="Credit Card"/>
    <x v="1"/>
    <s v="East-Bob"/>
    <x v="0"/>
    <n v="2"/>
    <n v="2023"/>
  </r>
  <r>
    <n v="1078"/>
    <d v="2023-04-04T00:00:00"/>
    <x v="1"/>
    <x v="3"/>
    <n v="9631.41"/>
    <n v="49"/>
    <x v="0"/>
    <n v="1833.95"/>
    <n v="2147.14"/>
    <x v="0"/>
    <n v="0.18"/>
    <s v="Credit Card"/>
    <x v="1"/>
    <s v="East-David"/>
    <x v="1"/>
    <n v="4"/>
    <n v="2023"/>
  </r>
  <r>
    <n v="1087"/>
    <d v="2023-04-05T00:00:00"/>
    <x v="3"/>
    <x v="3"/>
    <n v="848.49"/>
    <n v="43"/>
    <x v="0"/>
    <n v="481"/>
    <n v="531.02"/>
    <x v="1"/>
    <n v="0.17"/>
    <s v="Cash"/>
    <x v="0"/>
    <s v="East-Eve"/>
    <x v="1"/>
    <n v="4"/>
    <n v="2023"/>
  </r>
  <r>
    <n v="1062"/>
    <d v="2023-11-01T00:00:00"/>
    <x v="0"/>
    <x v="3"/>
    <n v="3720.24"/>
    <n v="36"/>
    <x v="1"/>
    <n v="1050.6400000000001"/>
    <n v="1167.33"/>
    <x v="1"/>
    <n v="0.22"/>
    <s v="Cash"/>
    <x v="0"/>
    <s v="East-Bob"/>
    <x v="8"/>
    <n v="11"/>
    <n v="2023"/>
  </r>
  <r>
    <n v="1040"/>
    <d v="2023-03-10T00:00:00"/>
    <x v="2"/>
    <x v="3"/>
    <n v="2331.27"/>
    <n v="13"/>
    <x v="2"/>
    <n v="2750.18"/>
    <n v="2882.85"/>
    <x v="0"/>
    <n v="0.24"/>
    <s v="Credit Card"/>
    <x v="0"/>
    <s v="East-Charlie"/>
    <x v="4"/>
    <n v="3"/>
    <n v="2023"/>
  </r>
  <r>
    <n v="1085"/>
    <d v="2023-11-14T00:00:00"/>
    <x v="2"/>
    <x v="2"/>
    <n v="2038.75"/>
    <n v="32"/>
    <x v="0"/>
    <n v="1074.93"/>
    <n v="1492.48"/>
    <x v="0"/>
    <n v="0.04"/>
    <s v="Credit Card"/>
    <x v="1"/>
    <s v="South-Charlie"/>
    <x v="8"/>
    <n v="11"/>
    <n v="2023"/>
  </r>
  <r>
    <n v="1080"/>
    <d v="2023-08-24T00:00:00"/>
    <x v="0"/>
    <x v="1"/>
    <n v="1493.95"/>
    <n v="17"/>
    <x v="0"/>
    <n v="2742.67"/>
    <n v="2979.64"/>
    <x v="0"/>
    <n v="0.01"/>
    <s v="Cash"/>
    <x v="1"/>
    <s v="West-Bob"/>
    <x v="3"/>
    <n v="8"/>
    <n v="2023"/>
  </r>
  <r>
    <n v="1082"/>
    <d v="2023-11-30T00:00:00"/>
    <x v="4"/>
    <x v="2"/>
    <n v="6261.9"/>
    <n v="41"/>
    <x v="3"/>
    <n v="1196.42"/>
    <n v="1444.97"/>
    <x v="0"/>
    <n v="0.21"/>
    <s v="Bank Transfer"/>
    <x v="0"/>
    <s v="South-Alice"/>
    <x v="8"/>
    <n v="11"/>
    <n v="2023"/>
  </r>
  <r>
    <n v="1053"/>
    <d v="2023-05-17T00:00:00"/>
    <x v="0"/>
    <x v="2"/>
    <n v="7835.09"/>
    <n v="36"/>
    <x v="2"/>
    <n v="4252.17"/>
    <n v="4720.2700000000004"/>
    <x v="1"/>
    <n v="0.09"/>
    <s v="Cash"/>
    <x v="1"/>
    <s v="South-Bob"/>
    <x v="10"/>
    <n v="5"/>
    <n v="2023"/>
  </r>
  <r>
    <n v="1024"/>
    <d v="2023-03-17T00:00:00"/>
    <x v="3"/>
    <x v="2"/>
    <n v="5825.15"/>
    <n v="46"/>
    <x v="3"/>
    <n v="2016.49"/>
    <n v="2338.66"/>
    <x v="0"/>
    <n v="0.19"/>
    <s v="Bank Transfer"/>
    <x v="1"/>
    <s v="South-Eve"/>
    <x v="4"/>
    <n v="3"/>
    <n v="2023"/>
  </r>
  <r>
    <n v="1026"/>
    <d v="2023-02-04T00:00:00"/>
    <x v="4"/>
    <x v="1"/>
    <n v="1554.93"/>
    <n v="19"/>
    <x v="3"/>
    <n v="1265.48"/>
    <n v="1715.83"/>
    <x v="1"/>
    <n v="0.05"/>
    <s v="Credit Card"/>
    <x v="1"/>
    <s v="West-Alice"/>
    <x v="0"/>
    <n v="2"/>
    <n v="2023"/>
  </r>
  <r>
    <n v="1089"/>
    <d v="2023-01-01T00:00:00"/>
    <x v="2"/>
    <x v="0"/>
    <n v="8130.13"/>
    <n v="35"/>
    <x v="2"/>
    <n v="4071.01"/>
    <n v="4304.7"/>
    <x v="1"/>
    <n v="0.14000000000000001"/>
    <s v="Credit Card"/>
    <x v="0"/>
    <s v="North-Charlie"/>
    <x v="5"/>
    <n v="1"/>
    <n v="2023"/>
  </r>
  <r>
    <n v="1060"/>
    <d v="2023-10-23T00:00:00"/>
    <x v="0"/>
    <x v="1"/>
    <n v="6395.95"/>
    <n v="46"/>
    <x v="2"/>
    <n v="1747.05"/>
    <n v="1830.27"/>
    <x v="1"/>
    <n v="0.15"/>
    <s v="Bank Transfer"/>
    <x v="1"/>
    <s v="West-Bob"/>
    <x v="7"/>
    <n v="10"/>
    <n v="2023"/>
  </r>
  <r>
    <n v="1041"/>
    <d v="2023-11-16T00:00:00"/>
    <x v="1"/>
    <x v="2"/>
    <n v="3942.84"/>
    <n v="40"/>
    <x v="1"/>
    <n v="601.86"/>
    <n v="1067.53"/>
    <x v="1"/>
    <n v="0.18"/>
    <s v="Cash"/>
    <x v="0"/>
    <s v="South-David"/>
    <x v="8"/>
    <n v="11"/>
    <n v="2023"/>
  </r>
  <r>
    <n v="1029"/>
    <d v="2023-03-01T00:00:00"/>
    <x v="1"/>
    <x v="3"/>
    <n v="6773.89"/>
    <n v="28"/>
    <x v="2"/>
    <n v="2873.53"/>
    <n v="3108.3"/>
    <x v="1"/>
    <n v="0.15"/>
    <s v="Credit Card"/>
    <x v="1"/>
    <s v="East-David"/>
    <x v="4"/>
    <n v="3"/>
    <n v="2023"/>
  </r>
  <r>
    <n v="1015"/>
    <d v="2023-11-16T00:00:00"/>
    <x v="3"/>
    <x v="3"/>
    <n v="2673.06"/>
    <n v="1"/>
    <x v="0"/>
    <n v="2928.74"/>
    <n v="3027.74"/>
    <x v="1"/>
    <n v="0.15"/>
    <s v="Bank Transfer"/>
    <x v="1"/>
    <s v="East-Eve"/>
    <x v="8"/>
    <n v="11"/>
    <n v="2023"/>
  </r>
  <r>
    <n v="1045"/>
    <d v="2023-12-15T00:00:00"/>
    <x v="1"/>
    <x v="2"/>
    <n v="3517.4"/>
    <n v="42"/>
    <x v="2"/>
    <n v="3587.74"/>
    <n v="3745.91"/>
    <x v="0"/>
    <n v="0.1"/>
    <s v="Cash"/>
    <x v="0"/>
    <s v="South-David"/>
    <x v="9"/>
    <n v="12"/>
    <n v="2023"/>
  </r>
  <r>
    <n v="1065"/>
    <d v="2023-11-24T00:00:00"/>
    <x v="0"/>
    <x v="3"/>
    <n v="9183.11"/>
    <n v="18"/>
    <x v="1"/>
    <n v="1239.0899999999999"/>
    <n v="1273.98"/>
    <x v="1"/>
    <n v="0.02"/>
    <s v="Bank Transfer"/>
    <x v="1"/>
    <s v="East-Bob"/>
    <x v="8"/>
    <n v="11"/>
    <n v="2023"/>
  </r>
  <r>
    <n v="1089"/>
    <d v="2023-09-24T00:00:00"/>
    <x v="0"/>
    <x v="2"/>
    <n v="2975.99"/>
    <n v="48"/>
    <x v="1"/>
    <n v="2246.67"/>
    <n v="2486.14"/>
    <x v="1"/>
    <n v="0.03"/>
    <s v="Cash"/>
    <x v="1"/>
    <s v="South-Bob"/>
    <x v="2"/>
    <n v="9"/>
    <n v="2023"/>
  </r>
  <r>
    <n v="1071"/>
    <d v="2023-12-27T00:00:00"/>
    <x v="1"/>
    <x v="3"/>
    <n v="4752.88"/>
    <n v="40"/>
    <x v="1"/>
    <n v="1447.72"/>
    <n v="1875.75"/>
    <x v="1"/>
    <n v="0.13"/>
    <s v="Cash"/>
    <x v="1"/>
    <s v="East-David"/>
    <x v="9"/>
    <n v="12"/>
    <n v="2023"/>
  </r>
  <r>
    <n v="1009"/>
    <d v="2023-08-17T00:00:00"/>
    <x v="0"/>
    <x v="1"/>
    <n v="8912.4"/>
    <n v="33"/>
    <x v="2"/>
    <n v="450.72"/>
    <n v="918.17"/>
    <x v="0"/>
    <n v="0.11"/>
    <s v="Cash"/>
    <x v="0"/>
    <s v="West-Bob"/>
    <x v="3"/>
    <n v="8"/>
    <n v="2023"/>
  </r>
  <r>
    <n v="1088"/>
    <d v="2023-09-27T00:00:00"/>
    <x v="3"/>
    <x v="0"/>
    <n v="7106.44"/>
    <n v="12"/>
    <x v="2"/>
    <n v="4389.24"/>
    <n v="4856.2199999999903"/>
    <x v="0"/>
    <n v="0.15"/>
    <s v="Cash"/>
    <x v="1"/>
    <s v="North-Eve"/>
    <x v="2"/>
    <n v="9"/>
    <n v="2023"/>
  </r>
  <r>
    <n v="1001"/>
    <d v="2023-11-12T00:00:00"/>
    <x v="4"/>
    <x v="0"/>
    <n v="715.81"/>
    <n v="8"/>
    <x v="3"/>
    <n v="3657.91"/>
    <n v="3729.27"/>
    <x v="1"/>
    <n v="0.09"/>
    <s v="Bank Transfer"/>
    <x v="1"/>
    <s v="North-Alice"/>
    <x v="8"/>
    <n v="11"/>
    <n v="2023"/>
  </r>
  <r>
    <n v="1008"/>
    <d v="2023-10-13T00:00:00"/>
    <x v="3"/>
    <x v="1"/>
    <n v="1558.3"/>
    <n v="24"/>
    <x v="3"/>
    <n v="1542.24"/>
    <n v="1739.45"/>
    <x v="0"/>
    <n v="0.21"/>
    <s v="Bank Transfer"/>
    <x v="1"/>
    <s v="West-Eve"/>
    <x v="7"/>
    <n v="10"/>
    <n v="2023"/>
  </r>
  <r>
    <n v="1088"/>
    <d v="2023-10-18T00:00:00"/>
    <x v="3"/>
    <x v="1"/>
    <n v="177.63"/>
    <n v="16"/>
    <x v="0"/>
    <n v="3016.9"/>
    <n v="3040.73"/>
    <x v="1"/>
    <n v="0.26"/>
    <s v="Bank Transfer"/>
    <x v="1"/>
    <s v="West-Eve"/>
    <x v="7"/>
    <n v="10"/>
    <n v="2023"/>
  </r>
  <r>
    <n v="1063"/>
    <d v="2023-08-01T00:00:00"/>
    <x v="0"/>
    <x v="2"/>
    <n v="6346.13"/>
    <n v="4"/>
    <x v="3"/>
    <n v="1046.26"/>
    <n v="1475.29"/>
    <x v="0"/>
    <n v="0.09"/>
    <s v="Bank Transfer"/>
    <x v="1"/>
    <s v="South-Bob"/>
    <x v="3"/>
    <n v="8"/>
    <n v="2023"/>
  </r>
  <r>
    <n v="1011"/>
    <d v="2023-06-14T00:00:00"/>
    <x v="4"/>
    <x v="2"/>
    <n v="4531.97"/>
    <n v="38"/>
    <x v="0"/>
    <n v="4456.67"/>
    <n v="4642.46"/>
    <x v="1"/>
    <n v="0.06"/>
    <s v="Bank Transfer"/>
    <x v="0"/>
    <s v="South-Alice"/>
    <x v="6"/>
    <n v="6"/>
    <n v="2023"/>
  </r>
  <r>
    <n v="1081"/>
    <d v="2023-01-05T00:00:00"/>
    <x v="0"/>
    <x v="2"/>
    <n v="1429.32"/>
    <n v="44"/>
    <x v="1"/>
    <n v="618.79"/>
    <n v="938.04"/>
    <x v="0"/>
    <n v="0.03"/>
    <s v="Cash"/>
    <x v="0"/>
    <s v="South-Bob"/>
    <x v="5"/>
    <n v="1"/>
    <n v="2023"/>
  </r>
  <r>
    <n v="1008"/>
    <d v="2023-12-05T00:00:00"/>
    <x v="2"/>
    <x v="3"/>
    <n v="9583.5499999999993"/>
    <n v="27"/>
    <x v="3"/>
    <n v="68.989999999999995"/>
    <n v="429.29"/>
    <x v="0"/>
    <n v="0.18"/>
    <s v="Credit Card"/>
    <x v="1"/>
    <s v="East-Charlie"/>
    <x v="9"/>
    <n v="12"/>
    <n v="2023"/>
  </r>
  <r>
    <n v="1035"/>
    <d v="2023-03-19T00:00:00"/>
    <x v="0"/>
    <x v="2"/>
    <n v="5343.63"/>
    <n v="9"/>
    <x v="2"/>
    <n v="2534.94"/>
    <n v="2755.56"/>
    <x v="0"/>
    <n v="0.13"/>
    <s v="Credit Card"/>
    <x v="1"/>
    <s v="South-Bob"/>
    <x v="4"/>
    <n v="3"/>
    <n v="2023"/>
  </r>
  <r>
    <n v="1035"/>
    <d v="2023-03-03T00:00:00"/>
    <x v="0"/>
    <x v="1"/>
    <n v="2494.7399999999998"/>
    <n v="47"/>
    <x v="3"/>
    <n v="2936.48"/>
    <n v="3096.64"/>
    <x v="1"/>
    <n v="0.06"/>
    <s v="Bank Transfer"/>
    <x v="0"/>
    <s v="West-Bob"/>
    <x v="4"/>
    <n v="3"/>
    <n v="2023"/>
  </r>
  <r>
    <n v="1033"/>
    <d v="2023-05-12T00:00:00"/>
    <x v="0"/>
    <x v="0"/>
    <n v="5055.9799999999996"/>
    <n v="16"/>
    <x v="0"/>
    <n v="2915.88"/>
    <n v="3397.36"/>
    <x v="1"/>
    <n v="0.2"/>
    <s v="Bank Transfer"/>
    <x v="1"/>
    <s v="North-Bob"/>
    <x v="10"/>
    <n v="5"/>
    <n v="2023"/>
  </r>
  <r>
    <n v="1005"/>
    <d v="2023-03-30T00:00:00"/>
    <x v="4"/>
    <x v="3"/>
    <n v="6828.24"/>
    <n v="12"/>
    <x v="3"/>
    <n v="319.83"/>
    <n v="802.43"/>
    <x v="1"/>
    <n v="0.04"/>
    <s v="Credit Card"/>
    <x v="1"/>
    <s v="East-Alice"/>
    <x v="4"/>
    <n v="3"/>
    <n v="2023"/>
  </r>
  <r>
    <n v="1041"/>
    <d v="2023-08-25T00:00:00"/>
    <x v="0"/>
    <x v="2"/>
    <n v="854.77"/>
    <n v="31"/>
    <x v="1"/>
    <n v="1604.52"/>
    <n v="1756.34"/>
    <x v="0"/>
    <n v="0.17"/>
    <s v="Cash"/>
    <x v="1"/>
    <s v="South-Bob"/>
    <x v="3"/>
    <n v="8"/>
    <n v="2023"/>
  </r>
  <r>
    <n v="1028"/>
    <d v="2023-02-11T00:00:00"/>
    <x v="4"/>
    <x v="3"/>
    <n v="2819.57"/>
    <n v="24"/>
    <x v="2"/>
    <n v="2521.0300000000002"/>
    <n v="2766.05"/>
    <x v="0"/>
    <n v="0.16"/>
    <s v="Bank Transfer"/>
    <x v="1"/>
    <s v="East-Alice"/>
    <x v="0"/>
    <n v="2"/>
    <n v="2023"/>
  </r>
  <r>
    <n v="1007"/>
    <d v="2023-03-30T00:00:00"/>
    <x v="1"/>
    <x v="3"/>
    <n v="8088.96"/>
    <n v="14"/>
    <x v="0"/>
    <n v="1122.07"/>
    <n v="1608.76"/>
    <x v="1"/>
    <n v="0.22"/>
    <s v="Cash"/>
    <x v="1"/>
    <s v="East-David"/>
    <x v="4"/>
    <n v="3"/>
    <n v="2023"/>
  </r>
  <r>
    <n v="1073"/>
    <d v="2023-10-23T00:00:00"/>
    <x v="2"/>
    <x v="2"/>
    <n v="4650.68"/>
    <n v="45"/>
    <x v="2"/>
    <n v="4369.5"/>
    <n v="4381.8900000000003"/>
    <x v="0"/>
    <n v="0.02"/>
    <s v="Credit Card"/>
    <x v="1"/>
    <s v="South-Charlie"/>
    <x v="7"/>
    <n v="10"/>
    <n v="2023"/>
  </r>
  <r>
    <n v="1072"/>
    <d v="2023-11-24T00:00:00"/>
    <x v="4"/>
    <x v="3"/>
    <n v="5511.11"/>
    <n v="25"/>
    <x v="2"/>
    <n v="481.19"/>
    <n v="693.4"/>
    <x v="1"/>
    <n v="0.27"/>
    <s v="Credit Card"/>
    <x v="1"/>
    <s v="East-Alice"/>
    <x v="8"/>
    <n v="11"/>
    <n v="2023"/>
  </r>
  <r>
    <n v="1012"/>
    <d v="2023-10-22T00:00:00"/>
    <x v="1"/>
    <x v="0"/>
    <n v="4384.88"/>
    <n v="34"/>
    <x v="0"/>
    <n v="2462.5500000000002"/>
    <n v="2521.77"/>
    <x v="1"/>
    <n v="0.21"/>
    <s v="Bank Transfer"/>
    <x v="1"/>
    <s v="North-David"/>
    <x v="7"/>
    <n v="10"/>
    <n v="2023"/>
  </r>
  <r>
    <n v="1034"/>
    <d v="2023-04-14T00:00:00"/>
    <x v="4"/>
    <x v="1"/>
    <n v="534.61"/>
    <n v="3"/>
    <x v="2"/>
    <n v="3472.51"/>
    <n v="3732"/>
    <x v="1"/>
    <n v="0.06"/>
    <s v="Cash"/>
    <x v="0"/>
    <s v="West-Alice"/>
    <x v="1"/>
    <n v="4"/>
    <n v="2023"/>
  </r>
  <r>
    <n v="1033"/>
    <d v="2023-01-14T00:00:00"/>
    <x v="4"/>
    <x v="1"/>
    <n v="1740.92"/>
    <n v="24"/>
    <x v="2"/>
    <n v="1345.67"/>
    <n v="1367.76"/>
    <x v="1"/>
    <n v="0.06"/>
    <s v="Bank Transfer"/>
    <x v="0"/>
    <s v="West-Alice"/>
    <x v="5"/>
    <n v="1"/>
    <n v="2023"/>
  </r>
  <r>
    <n v="1048"/>
    <d v="2023-10-15T00:00:00"/>
    <x v="2"/>
    <x v="0"/>
    <n v="4510.8599999999997"/>
    <n v="42"/>
    <x v="3"/>
    <n v="3139.99"/>
    <n v="3349.37"/>
    <x v="0"/>
    <n v="0.13"/>
    <s v="Credit Card"/>
    <x v="1"/>
    <s v="North-Charlie"/>
    <x v="7"/>
    <n v="10"/>
    <n v="2023"/>
  </r>
  <r>
    <n v="1023"/>
    <d v="2023-06-28T00:00:00"/>
    <x v="3"/>
    <x v="3"/>
    <n v="2170.94"/>
    <n v="9"/>
    <x v="2"/>
    <n v="4155.46"/>
    <n v="4273.6000000000004"/>
    <x v="0"/>
    <n v="0.25"/>
    <s v="Cash"/>
    <x v="1"/>
    <s v="East-Eve"/>
    <x v="6"/>
    <n v="6"/>
    <n v="2023"/>
  </r>
  <r>
    <n v="1062"/>
    <d v="2023-05-05T00:00:00"/>
    <x v="3"/>
    <x v="2"/>
    <n v="594.79"/>
    <n v="26"/>
    <x v="2"/>
    <n v="992.17"/>
    <n v="1263.49"/>
    <x v="0"/>
    <n v="0.25"/>
    <s v="Bank Transfer"/>
    <x v="1"/>
    <s v="South-Eve"/>
    <x v="10"/>
    <n v="5"/>
    <n v="2023"/>
  </r>
  <r>
    <n v="1088"/>
    <d v="2023-12-19T00:00:00"/>
    <x v="4"/>
    <x v="3"/>
    <n v="8452.1299999999992"/>
    <n v="20"/>
    <x v="2"/>
    <n v="4590.24"/>
    <n v="5088.28"/>
    <x v="1"/>
    <n v="0.16"/>
    <s v="Bank Transfer"/>
    <x v="1"/>
    <s v="East-Alice"/>
    <x v="9"/>
    <n v="12"/>
    <n v="2023"/>
  </r>
  <r>
    <n v="1037"/>
    <d v="2023-01-23T00:00:00"/>
    <x v="0"/>
    <x v="0"/>
    <n v="9813.81"/>
    <n v="40"/>
    <x v="2"/>
    <n v="2790.11"/>
    <n v="3192.37"/>
    <x v="0"/>
    <n v="0.26"/>
    <s v="Bank Transfer"/>
    <x v="0"/>
    <s v="North-Bob"/>
    <x v="5"/>
    <n v="1"/>
    <n v="2023"/>
  </r>
  <r>
    <n v="1099"/>
    <d v="2023-03-04T00:00:00"/>
    <x v="1"/>
    <x v="3"/>
    <n v="7952.11"/>
    <n v="10"/>
    <x v="0"/>
    <n v="1531.2"/>
    <n v="1955.56"/>
    <x v="1"/>
    <n v="0"/>
    <s v="Credit Card"/>
    <x v="0"/>
    <s v="East-David"/>
    <x v="4"/>
    <n v="3"/>
    <n v="2023"/>
  </r>
  <r>
    <n v="1044"/>
    <d v="2023-05-23T00:00:00"/>
    <x v="0"/>
    <x v="1"/>
    <n v="8552.4699999999993"/>
    <n v="19"/>
    <x v="1"/>
    <n v="2182.75"/>
    <n v="2504.0299999999902"/>
    <x v="1"/>
    <n v="0.01"/>
    <s v="Bank Transfer"/>
    <x v="0"/>
    <s v="West-Bob"/>
    <x v="10"/>
    <n v="5"/>
    <n v="2023"/>
  </r>
  <r>
    <n v="1086"/>
    <d v="2023-06-02T00:00:00"/>
    <x v="0"/>
    <x v="3"/>
    <n v="2495.5700000000002"/>
    <n v="3"/>
    <x v="3"/>
    <n v="1595.35"/>
    <n v="1625.70999999999"/>
    <x v="1"/>
    <n v="0.27"/>
    <s v="Cash"/>
    <x v="0"/>
    <s v="East-Bob"/>
    <x v="6"/>
    <n v="6"/>
    <n v="2023"/>
  </r>
  <r>
    <n v="1091"/>
    <d v="2023-05-25T00:00:00"/>
    <x v="4"/>
    <x v="0"/>
    <n v="9610.2099999999991"/>
    <n v="24"/>
    <x v="2"/>
    <n v="3639.3"/>
    <n v="3750.63"/>
    <x v="1"/>
    <n v="0.23"/>
    <s v="Bank Transfer"/>
    <x v="1"/>
    <s v="North-Alice"/>
    <x v="10"/>
    <n v="5"/>
    <n v="2023"/>
  </r>
  <r>
    <n v="1035"/>
    <d v="2023-08-13T00:00:00"/>
    <x v="4"/>
    <x v="1"/>
    <n v="2049.56"/>
    <n v="5"/>
    <x v="2"/>
    <n v="3991.69"/>
    <n v="4454.97"/>
    <x v="1"/>
    <n v="0.14000000000000001"/>
    <s v="Credit Card"/>
    <x v="1"/>
    <s v="West-Alice"/>
    <x v="3"/>
    <n v="8"/>
    <n v="2023"/>
  </r>
  <r>
    <n v="1065"/>
    <d v="2023-11-05T00:00:00"/>
    <x v="4"/>
    <x v="3"/>
    <n v="9519.16"/>
    <n v="3"/>
    <x v="0"/>
    <n v="4173.04"/>
    <n v="4362.4399999999996"/>
    <x v="1"/>
    <n v="0.23"/>
    <s v="Bank Transfer"/>
    <x v="1"/>
    <s v="East-Alice"/>
    <x v="8"/>
    <n v="11"/>
    <n v="2023"/>
  </r>
  <r>
    <n v="1099"/>
    <d v="2023-04-14T00:00:00"/>
    <x v="4"/>
    <x v="3"/>
    <n v="9948.7099999999991"/>
    <n v="27"/>
    <x v="1"/>
    <n v="4929.55"/>
    <n v="4990.33"/>
    <x v="0"/>
    <n v="0.28999999999999998"/>
    <s v="Credit Card"/>
    <x v="0"/>
    <s v="East-Alice"/>
    <x v="1"/>
    <n v="4"/>
    <n v="2023"/>
  </r>
  <r>
    <n v="1047"/>
    <d v="2023-04-14T00:00:00"/>
    <x v="3"/>
    <x v="1"/>
    <n v="7146.06"/>
    <n v="16"/>
    <x v="2"/>
    <n v="3966.86"/>
    <n v="4321.04"/>
    <x v="0"/>
    <n v="0.23"/>
    <s v="Credit Card"/>
    <x v="1"/>
    <s v="West-Eve"/>
    <x v="1"/>
    <n v="4"/>
    <n v="2023"/>
  </r>
  <r>
    <n v="1078"/>
    <d v="2023-02-08T00:00:00"/>
    <x v="4"/>
    <x v="2"/>
    <n v="9813.32"/>
    <n v="49"/>
    <x v="0"/>
    <n v="3026.85"/>
    <n v="3183.58"/>
    <x v="0"/>
    <n v="0.25"/>
    <s v="Cash"/>
    <x v="1"/>
    <s v="South-Alice"/>
    <x v="0"/>
    <n v="2"/>
    <n v="2023"/>
  </r>
  <r>
    <n v="1003"/>
    <d v="2023-07-17T00:00:00"/>
    <x v="3"/>
    <x v="1"/>
    <n v="5738.44"/>
    <n v="15"/>
    <x v="3"/>
    <n v="1729.14"/>
    <n v="1870.88"/>
    <x v="0"/>
    <n v="0.23"/>
    <s v="Cash"/>
    <x v="0"/>
    <s v="West-Eve"/>
    <x v="11"/>
    <n v="7"/>
    <n v="2023"/>
  </r>
  <r>
    <n v="1001"/>
    <d v="2023-05-14T00:00:00"/>
    <x v="3"/>
    <x v="2"/>
    <n v="2669.46"/>
    <n v="35"/>
    <x v="3"/>
    <n v="2745.75"/>
    <n v="3244.76"/>
    <x v="1"/>
    <n v="0.05"/>
    <s v="Bank Transfer"/>
    <x v="0"/>
    <s v="South-Eve"/>
    <x v="10"/>
    <n v="5"/>
    <n v="2023"/>
  </r>
  <r>
    <n v="1005"/>
    <d v="2023-03-08T00:00:00"/>
    <x v="4"/>
    <x v="0"/>
    <n v="4426.26"/>
    <n v="12"/>
    <x v="2"/>
    <n v="253.29"/>
    <n v="683.78"/>
    <x v="1"/>
    <n v="0.25"/>
    <s v="Credit Card"/>
    <x v="0"/>
    <s v="North-Alice"/>
    <x v="4"/>
    <n v="3"/>
    <n v="2023"/>
  </r>
  <r>
    <n v="1090"/>
    <d v="2023-06-28T00:00:00"/>
    <x v="2"/>
    <x v="0"/>
    <n v="5976.25"/>
    <n v="41"/>
    <x v="2"/>
    <n v="3736.88"/>
    <n v="3946.77"/>
    <x v="0"/>
    <n v="0.06"/>
    <s v="Credit Card"/>
    <x v="0"/>
    <s v="North-Charlie"/>
    <x v="6"/>
    <n v="6"/>
    <n v="2023"/>
  </r>
  <r>
    <n v="1014"/>
    <d v="2023-02-11T00:00:00"/>
    <x v="1"/>
    <x v="1"/>
    <n v="823.51"/>
    <n v="44"/>
    <x v="1"/>
    <n v="2257.48"/>
    <n v="2747.81"/>
    <x v="0"/>
    <n v="0.27"/>
    <s v="Cash"/>
    <x v="0"/>
    <s v="West-David"/>
    <x v="0"/>
    <n v="2"/>
    <n v="2023"/>
  </r>
  <r>
    <n v="1027"/>
    <d v="2023-01-15T00:00:00"/>
    <x v="0"/>
    <x v="1"/>
    <n v="6261.2"/>
    <n v="26"/>
    <x v="1"/>
    <n v="149.11000000000001"/>
    <n v="477.67"/>
    <x v="0"/>
    <n v="0.14000000000000001"/>
    <s v="Cash"/>
    <x v="1"/>
    <s v="West-Bob"/>
    <x v="5"/>
    <n v="1"/>
    <n v="2023"/>
  </r>
  <r>
    <n v="1009"/>
    <d v="2023-04-21T00:00:00"/>
    <x v="3"/>
    <x v="0"/>
    <n v="9813.66"/>
    <n v="47"/>
    <x v="2"/>
    <n v="359.41"/>
    <n v="733"/>
    <x v="0"/>
    <n v="0.2"/>
    <s v="Bank Transfer"/>
    <x v="1"/>
    <s v="North-Eve"/>
    <x v="1"/>
    <n v="4"/>
    <n v="2023"/>
  </r>
  <r>
    <n v="1079"/>
    <d v="2023-06-06T00:00:00"/>
    <x v="1"/>
    <x v="2"/>
    <n v="1982.07"/>
    <n v="34"/>
    <x v="0"/>
    <n v="1967.96"/>
    <n v="1993.4"/>
    <x v="0"/>
    <n v="0.15"/>
    <s v="Credit Card"/>
    <x v="0"/>
    <s v="South-David"/>
    <x v="6"/>
    <n v="6"/>
    <n v="2023"/>
  </r>
  <r>
    <n v="1015"/>
    <d v="2023-10-16T00:00:00"/>
    <x v="2"/>
    <x v="0"/>
    <n v="7946.69"/>
    <n v="23"/>
    <x v="1"/>
    <n v="2937.94"/>
    <n v="3007.53"/>
    <x v="0"/>
    <n v="0.03"/>
    <s v="Cash"/>
    <x v="1"/>
    <s v="North-Charlie"/>
    <x v="7"/>
    <n v="10"/>
    <n v="2023"/>
  </r>
  <r>
    <n v="1090"/>
    <d v="2023-08-19T00:00:00"/>
    <x v="0"/>
    <x v="1"/>
    <n v="9088.2000000000007"/>
    <n v="31"/>
    <x v="2"/>
    <n v="2347.81"/>
    <n v="2668.02"/>
    <x v="0"/>
    <n v="0.09"/>
    <s v="Bank Transfer"/>
    <x v="1"/>
    <s v="West-Bob"/>
    <x v="3"/>
    <n v="8"/>
    <n v="2023"/>
  </r>
  <r>
    <n v="1042"/>
    <d v="2023-06-06T00:00:00"/>
    <x v="0"/>
    <x v="0"/>
    <n v="9442.65"/>
    <n v="20"/>
    <x v="1"/>
    <n v="3115.06"/>
    <n v="3565.58"/>
    <x v="0"/>
    <n v="0.3"/>
    <s v="Credit Card"/>
    <x v="1"/>
    <s v="North-Bob"/>
    <x v="6"/>
    <n v="6"/>
    <n v="2023"/>
  </r>
  <r>
    <n v="1077"/>
    <d v="2023-02-07T00:00:00"/>
    <x v="3"/>
    <x v="1"/>
    <n v="9605.34"/>
    <n v="12"/>
    <x v="2"/>
    <n v="2427.46"/>
    <n v="2743.09"/>
    <x v="1"/>
    <n v="0.28999999999999998"/>
    <s v="Credit Card"/>
    <x v="1"/>
    <s v="West-Eve"/>
    <x v="0"/>
    <n v="2"/>
    <n v="2023"/>
  </r>
  <r>
    <n v="1051"/>
    <d v="2023-04-07T00:00:00"/>
    <x v="4"/>
    <x v="1"/>
    <n v="5262.45"/>
    <n v="23"/>
    <x v="3"/>
    <n v="3325.43"/>
    <n v="3401.1"/>
    <x v="1"/>
    <n v="0.1"/>
    <s v="Cash"/>
    <x v="0"/>
    <s v="West-Alice"/>
    <x v="1"/>
    <n v="4"/>
    <n v="2023"/>
  </r>
  <r>
    <n v="1063"/>
    <d v="2023-10-16T00:00:00"/>
    <x v="2"/>
    <x v="0"/>
    <n v="9775.35"/>
    <n v="4"/>
    <x v="2"/>
    <n v="1134.67"/>
    <n v="1201.3900000000001"/>
    <x v="1"/>
    <n v="0.3"/>
    <s v="Bank Transfer"/>
    <x v="1"/>
    <s v="North-Charlie"/>
    <x v="7"/>
    <n v="10"/>
    <n v="2023"/>
  </r>
  <r>
    <n v="1096"/>
    <d v="2023-09-11T00:00:00"/>
    <x v="3"/>
    <x v="2"/>
    <n v="7597.37"/>
    <n v="23"/>
    <x v="3"/>
    <n v="608.57000000000005"/>
    <n v="1032.22"/>
    <x v="1"/>
    <n v="0.25"/>
    <s v="Cash"/>
    <x v="1"/>
    <s v="South-Eve"/>
    <x v="2"/>
    <n v="9"/>
    <n v="2023"/>
  </r>
  <r>
    <n v="1052"/>
    <d v="2023-07-15T00:00:00"/>
    <x v="2"/>
    <x v="3"/>
    <n v="1700.55"/>
    <n v="48"/>
    <x v="1"/>
    <n v="3002.35"/>
    <n v="3080.61"/>
    <x v="0"/>
    <n v="0.18"/>
    <s v="Bank Transfer"/>
    <x v="1"/>
    <s v="East-Charlie"/>
    <x v="11"/>
    <n v="7"/>
    <n v="2023"/>
  </r>
  <r>
    <n v="1096"/>
    <d v="2023-03-27T00:00:00"/>
    <x v="4"/>
    <x v="0"/>
    <n v="4821.3100000000004"/>
    <n v="48"/>
    <x v="2"/>
    <n v="2449.21"/>
    <n v="2714.12"/>
    <x v="1"/>
    <n v="0.01"/>
    <s v="Credit Card"/>
    <x v="0"/>
    <s v="North-Alice"/>
    <x v="4"/>
    <n v="3"/>
    <n v="2023"/>
  </r>
  <r>
    <n v="1004"/>
    <d v="2023-11-18T00:00:00"/>
    <x v="4"/>
    <x v="3"/>
    <n v="7211.48"/>
    <n v="1"/>
    <x v="1"/>
    <n v="182.99"/>
    <n v="211.18"/>
    <x v="0"/>
    <n v="0.27"/>
    <s v="Bank Transfer"/>
    <x v="1"/>
    <s v="East-Alice"/>
    <x v="8"/>
    <n v="11"/>
    <n v="2023"/>
  </r>
  <r>
    <n v="1094"/>
    <d v="2023-01-10T00:00:00"/>
    <x v="3"/>
    <x v="0"/>
    <n v="2548.67"/>
    <n v="25"/>
    <x v="3"/>
    <n v="1933.39"/>
    <n v="1982.92"/>
    <x v="1"/>
    <n v="0.17"/>
    <s v="Bank Transfer"/>
    <x v="0"/>
    <s v="North-Eve"/>
    <x v="5"/>
    <n v="1"/>
    <n v="2023"/>
  </r>
  <r>
    <n v="1023"/>
    <d v="2023-01-05T00:00:00"/>
    <x v="4"/>
    <x v="3"/>
    <n v="6442.09"/>
    <n v="2"/>
    <x v="2"/>
    <n v="575.32000000000005"/>
    <n v="914.77"/>
    <x v="0"/>
    <n v="0.26"/>
    <s v="Bank Transfer"/>
    <x v="0"/>
    <s v="East-Alice"/>
    <x v="5"/>
    <n v="1"/>
    <n v="2023"/>
  </r>
  <r>
    <n v="1015"/>
    <d v="2023-05-03T00:00:00"/>
    <x v="1"/>
    <x v="2"/>
    <n v="6699.34"/>
    <n v="30"/>
    <x v="1"/>
    <n v="2680.22"/>
    <n v="3027.9199999999901"/>
    <x v="0"/>
    <n v="0.25"/>
    <s v="Bank Transfer"/>
    <x v="0"/>
    <s v="South-David"/>
    <x v="10"/>
    <n v="5"/>
    <n v="2023"/>
  </r>
  <r>
    <n v="1043"/>
    <d v="2023-11-26T00:00:00"/>
    <x v="0"/>
    <x v="2"/>
    <n v="1710.73"/>
    <n v="3"/>
    <x v="3"/>
    <n v="2009.1"/>
    <n v="2186.42"/>
    <x v="1"/>
    <n v="0.25"/>
    <s v="Bank Transfer"/>
    <x v="0"/>
    <s v="South-Bob"/>
    <x v="8"/>
    <n v="11"/>
    <n v="2023"/>
  </r>
  <r>
    <n v="1029"/>
    <d v="2023-12-19T00:00:00"/>
    <x v="3"/>
    <x v="0"/>
    <n v="5694.34"/>
    <n v="21"/>
    <x v="1"/>
    <n v="3085.1"/>
    <n v="3200.75"/>
    <x v="1"/>
    <n v="0.21"/>
    <s v="Cash"/>
    <x v="1"/>
    <s v="North-Eve"/>
    <x v="9"/>
    <n v="12"/>
    <n v="2023"/>
  </r>
  <r>
    <n v="1036"/>
    <d v="2023-04-28T00:00:00"/>
    <x v="2"/>
    <x v="1"/>
    <n v="7739.11"/>
    <n v="25"/>
    <x v="0"/>
    <n v="4037.73"/>
    <n v="4446.45"/>
    <x v="0"/>
    <n v="0.09"/>
    <s v="Bank Transfer"/>
    <x v="0"/>
    <s v="West-Charlie"/>
    <x v="1"/>
    <n v="4"/>
    <n v="2023"/>
  </r>
  <r>
    <n v="1013"/>
    <d v="2023-10-21T00:00:00"/>
    <x v="1"/>
    <x v="3"/>
    <n v="5039.07"/>
    <n v="20"/>
    <x v="3"/>
    <n v="1533.36"/>
    <n v="1649.73999999999"/>
    <x v="0"/>
    <n v="0.1"/>
    <s v="Bank Transfer"/>
    <x v="0"/>
    <s v="East-David"/>
    <x v="7"/>
    <n v="10"/>
    <n v="2023"/>
  </r>
  <r>
    <n v="1032"/>
    <d v="2023-06-08T00:00:00"/>
    <x v="3"/>
    <x v="1"/>
    <n v="219.82"/>
    <n v="49"/>
    <x v="3"/>
    <n v="4812.41"/>
    <n v="5088"/>
    <x v="0"/>
    <n v="0.09"/>
    <s v="Credit Card"/>
    <x v="0"/>
    <s v="West-Eve"/>
    <x v="6"/>
    <n v="6"/>
    <n v="2023"/>
  </r>
  <r>
    <n v="1071"/>
    <d v="2023-10-30T00:00:00"/>
    <x v="4"/>
    <x v="1"/>
    <n v="189.48"/>
    <n v="22"/>
    <x v="3"/>
    <n v="2701.39"/>
    <n v="3185.81"/>
    <x v="1"/>
    <n v="0.01"/>
    <s v="Bank Transfer"/>
    <x v="0"/>
    <s v="West-Alice"/>
    <x v="7"/>
    <n v="10"/>
    <n v="2023"/>
  </r>
  <r>
    <n v="1059"/>
    <d v="2023-08-16T00:00:00"/>
    <x v="4"/>
    <x v="1"/>
    <n v="3634.59"/>
    <n v="21"/>
    <x v="2"/>
    <n v="3110.54"/>
    <n v="3192.99"/>
    <x v="1"/>
    <n v="0.17"/>
    <s v="Credit Card"/>
    <x v="0"/>
    <s v="West-Alice"/>
    <x v="3"/>
    <n v="8"/>
    <n v="2023"/>
  </r>
  <r>
    <n v="1086"/>
    <d v="2023-12-31T00:00:00"/>
    <x v="4"/>
    <x v="2"/>
    <n v="9269.32"/>
    <n v="33"/>
    <x v="2"/>
    <n v="3419.33"/>
    <n v="3890.3599999999901"/>
    <x v="0"/>
    <n v="0.21"/>
    <s v="Cash"/>
    <x v="1"/>
    <s v="South-Alice"/>
    <x v="9"/>
    <n v="12"/>
    <n v="2023"/>
  </r>
  <r>
    <n v="1028"/>
    <d v="2023-08-04T00:00:00"/>
    <x v="4"/>
    <x v="0"/>
    <n v="2363.9"/>
    <n v="38"/>
    <x v="2"/>
    <n v="3350.32"/>
    <n v="3449.94"/>
    <x v="1"/>
    <n v="0.26"/>
    <s v="Cash"/>
    <x v="0"/>
    <s v="North-Alice"/>
    <x v="3"/>
    <n v="8"/>
    <n v="2023"/>
  </r>
  <r>
    <n v="1066"/>
    <d v="2023-07-03T00:00:00"/>
    <x v="2"/>
    <x v="0"/>
    <n v="6380.2"/>
    <n v="15"/>
    <x v="0"/>
    <n v="2579.31"/>
    <n v="2867.36"/>
    <x v="0"/>
    <n v="0.04"/>
    <s v="Bank Transfer"/>
    <x v="1"/>
    <s v="North-Charlie"/>
    <x v="11"/>
    <n v="7"/>
    <n v="2023"/>
  </r>
  <r>
    <n v="1042"/>
    <d v="2023-01-15T00:00:00"/>
    <x v="1"/>
    <x v="2"/>
    <n v="2298.5500000000002"/>
    <n v="46"/>
    <x v="0"/>
    <n v="2172.38"/>
    <n v="2367.11"/>
    <x v="1"/>
    <n v="0.16"/>
    <s v="Cash"/>
    <x v="1"/>
    <s v="South-David"/>
    <x v="5"/>
    <n v="1"/>
    <n v="2023"/>
  </r>
  <r>
    <n v="1045"/>
    <d v="2023-06-06T00:00:00"/>
    <x v="0"/>
    <x v="2"/>
    <n v="3284.53"/>
    <n v="15"/>
    <x v="3"/>
    <n v="316.22000000000003"/>
    <n v="799.04"/>
    <x v="1"/>
    <n v="0"/>
    <s v="Bank Transfer"/>
    <x v="0"/>
    <s v="South-Bob"/>
    <x v="6"/>
    <n v="6"/>
    <n v="2023"/>
  </r>
  <r>
    <n v="1062"/>
    <d v="2023-05-16T00:00:00"/>
    <x v="2"/>
    <x v="0"/>
    <n v="8495.6200000000008"/>
    <n v="46"/>
    <x v="0"/>
    <n v="159.32"/>
    <n v="303.36"/>
    <x v="1"/>
    <n v="0.03"/>
    <s v="Cash"/>
    <x v="1"/>
    <s v="North-Charlie"/>
    <x v="10"/>
    <n v="5"/>
    <n v="2023"/>
  </r>
  <r>
    <n v="1057"/>
    <d v="2023-09-18T00:00:00"/>
    <x v="2"/>
    <x v="1"/>
    <n v="7315.73"/>
    <n v="25"/>
    <x v="1"/>
    <n v="1821.91"/>
    <n v="2027.74"/>
    <x v="1"/>
    <n v="0.02"/>
    <s v="Bank Transfer"/>
    <x v="1"/>
    <s v="West-Charlie"/>
    <x v="2"/>
    <n v="9"/>
    <n v="2023"/>
  </r>
  <r>
    <n v="1006"/>
    <d v="2023-06-06T00:00:00"/>
    <x v="0"/>
    <x v="3"/>
    <n v="1044.45"/>
    <n v="21"/>
    <x v="3"/>
    <n v="1701.62"/>
    <n v="2193.2199999999998"/>
    <x v="1"/>
    <n v="0.22"/>
    <s v="Bank Transfer"/>
    <x v="1"/>
    <s v="East-Bob"/>
    <x v="6"/>
    <n v="6"/>
    <n v="2023"/>
  </r>
  <r>
    <n v="1028"/>
    <d v="2023-02-16T00:00:00"/>
    <x v="0"/>
    <x v="3"/>
    <n v="4344.1499999999996"/>
    <n v="24"/>
    <x v="3"/>
    <n v="1969.09"/>
    <n v="2241.96"/>
    <x v="0"/>
    <n v="0.02"/>
    <s v="Credit Card"/>
    <x v="0"/>
    <s v="East-Bob"/>
    <x v="0"/>
    <n v="2"/>
    <n v="2023"/>
  </r>
  <r>
    <n v="1028"/>
    <d v="2023-11-20T00:00:00"/>
    <x v="4"/>
    <x v="3"/>
    <n v="388.78"/>
    <n v="5"/>
    <x v="1"/>
    <n v="734.92"/>
    <n v="991.21"/>
    <x v="0"/>
    <n v="0.21"/>
    <s v="Credit Card"/>
    <x v="0"/>
    <s v="East-Alice"/>
    <x v="8"/>
    <n v="11"/>
    <n v="2023"/>
  </r>
  <r>
    <n v="1044"/>
    <d v="2023-11-28T00:00:00"/>
    <x v="2"/>
    <x v="1"/>
    <n v="4860.8100000000004"/>
    <n v="6"/>
    <x v="3"/>
    <n v="3703.93"/>
    <n v="3840.24"/>
    <x v="1"/>
    <n v="7.0000000000000007E-2"/>
    <s v="Credit Card"/>
    <x v="0"/>
    <s v="West-Charlie"/>
    <x v="8"/>
    <n v="11"/>
    <n v="2023"/>
  </r>
  <r>
    <n v="1084"/>
    <d v="2023-06-22T00:00:00"/>
    <x v="3"/>
    <x v="0"/>
    <n v="6658.1"/>
    <n v="49"/>
    <x v="0"/>
    <n v="4291.97"/>
    <n v="4645.6400000000003"/>
    <x v="0"/>
    <n v="0.26"/>
    <s v="Credit Card"/>
    <x v="0"/>
    <s v="North-Eve"/>
    <x v="6"/>
    <n v="6"/>
    <n v="2023"/>
  </r>
  <r>
    <n v="1030"/>
    <d v="2023-05-10T00:00:00"/>
    <x v="0"/>
    <x v="2"/>
    <n v="1273.18"/>
    <n v="43"/>
    <x v="2"/>
    <n v="4696.6400000000003"/>
    <n v="4713.68"/>
    <x v="0"/>
    <n v="0.24"/>
    <s v="Bank Transfer"/>
    <x v="0"/>
    <s v="South-Bob"/>
    <x v="10"/>
    <n v="5"/>
    <n v="2023"/>
  </r>
  <r>
    <n v="1062"/>
    <d v="2023-04-05T00:00:00"/>
    <x v="0"/>
    <x v="0"/>
    <n v="2959.96"/>
    <n v="48"/>
    <x v="1"/>
    <n v="2487.19"/>
    <n v="2521.4499999999998"/>
    <x v="1"/>
    <n v="0.28999999999999998"/>
    <s v="Cash"/>
    <x v="0"/>
    <s v="North-Bob"/>
    <x v="1"/>
    <n v="4"/>
    <n v="2023"/>
  </r>
  <r>
    <n v="1075"/>
    <d v="2023-04-25T00:00:00"/>
    <x v="1"/>
    <x v="1"/>
    <n v="4038.58"/>
    <n v="44"/>
    <x v="0"/>
    <n v="3519.29"/>
    <n v="3822.98"/>
    <x v="0"/>
    <n v="0.27"/>
    <s v="Bank Transfer"/>
    <x v="0"/>
    <s v="West-David"/>
    <x v="1"/>
    <n v="4"/>
    <n v="2023"/>
  </r>
  <r>
    <n v="1092"/>
    <d v="2023-08-31T00:00:00"/>
    <x v="3"/>
    <x v="2"/>
    <n v="9203.36"/>
    <n v="47"/>
    <x v="1"/>
    <n v="4284.9799999999996"/>
    <n v="4462.3999999999996"/>
    <x v="1"/>
    <n v="0.28000000000000003"/>
    <s v="Credit Card"/>
    <x v="1"/>
    <s v="South-Eve"/>
    <x v="3"/>
    <n v="8"/>
    <n v="2023"/>
  </r>
  <r>
    <n v="1089"/>
    <d v="2023-10-19T00:00:00"/>
    <x v="3"/>
    <x v="1"/>
    <n v="9933.2199999999993"/>
    <n v="23"/>
    <x v="1"/>
    <n v="2120.54"/>
    <n v="2597.67"/>
    <x v="0"/>
    <n v="0.26"/>
    <s v="Credit Card"/>
    <x v="1"/>
    <s v="West-Eve"/>
    <x v="7"/>
    <n v="10"/>
    <n v="2023"/>
  </r>
  <r>
    <n v="1062"/>
    <d v="2023-10-09T00:00:00"/>
    <x v="0"/>
    <x v="3"/>
    <n v="544.62"/>
    <n v="4"/>
    <x v="3"/>
    <n v="1581.59"/>
    <n v="2034.1499999999901"/>
    <x v="0"/>
    <n v="0.21"/>
    <s v="Cash"/>
    <x v="0"/>
    <s v="East-Bob"/>
    <x v="7"/>
    <n v="10"/>
    <n v="2023"/>
  </r>
  <r>
    <n v="1097"/>
    <d v="2023-10-26T00:00:00"/>
    <x v="4"/>
    <x v="3"/>
    <n v="7633.98"/>
    <n v="27"/>
    <x v="3"/>
    <n v="4686.79"/>
    <n v="5046.51"/>
    <x v="0"/>
    <n v="0.05"/>
    <s v="Credit Card"/>
    <x v="1"/>
    <s v="East-Alice"/>
    <x v="7"/>
    <n v="10"/>
    <n v="2023"/>
  </r>
  <r>
    <n v="1001"/>
    <d v="2023-10-10T00:00:00"/>
    <x v="1"/>
    <x v="1"/>
    <n v="3780.07"/>
    <n v="18"/>
    <x v="0"/>
    <n v="2602.6"/>
    <n v="3013.49"/>
    <x v="0"/>
    <n v="0.08"/>
    <s v="Bank Transfer"/>
    <x v="0"/>
    <s v="West-David"/>
    <x v="7"/>
    <n v="10"/>
    <n v="2023"/>
  </r>
  <r>
    <n v="1027"/>
    <d v="2023-03-10T00:00:00"/>
    <x v="3"/>
    <x v="2"/>
    <n v="3985.34"/>
    <n v="21"/>
    <x v="1"/>
    <n v="2511.41"/>
    <n v="2848.3999999999901"/>
    <x v="0"/>
    <n v="0.06"/>
    <s v="Bank Transfer"/>
    <x v="0"/>
    <s v="South-Eve"/>
    <x v="4"/>
    <n v="3"/>
    <n v="2023"/>
  </r>
  <r>
    <n v="1062"/>
    <d v="2023-05-28T00:00:00"/>
    <x v="0"/>
    <x v="2"/>
    <n v="7567.22"/>
    <n v="28"/>
    <x v="3"/>
    <n v="933.16"/>
    <n v="1004.69999999999"/>
    <x v="0"/>
    <n v="0.18"/>
    <s v="Bank Transfer"/>
    <x v="0"/>
    <s v="South-Bob"/>
    <x v="10"/>
    <n v="5"/>
    <n v="2023"/>
  </r>
  <r>
    <n v="1077"/>
    <d v="2023-01-11T00:00:00"/>
    <x v="3"/>
    <x v="0"/>
    <n v="9192.42"/>
    <n v="35"/>
    <x v="3"/>
    <n v="585.37"/>
    <n v="970.49"/>
    <x v="0"/>
    <n v="0.15"/>
    <s v="Bank Transfer"/>
    <x v="1"/>
    <s v="North-Eve"/>
    <x v="5"/>
    <n v="1"/>
    <n v="2023"/>
  </r>
  <r>
    <n v="1003"/>
    <d v="2023-09-11T00:00:00"/>
    <x v="1"/>
    <x v="3"/>
    <n v="9514.19"/>
    <n v="22"/>
    <x v="1"/>
    <n v="4218.43"/>
    <n v="4331.42"/>
    <x v="1"/>
    <n v="0.26"/>
    <s v="Bank Transfer"/>
    <x v="0"/>
    <s v="East-David"/>
    <x v="2"/>
    <n v="9"/>
    <n v="2023"/>
  </r>
  <r>
    <n v="1070"/>
    <d v="2023-11-26T00:00:00"/>
    <x v="1"/>
    <x v="0"/>
    <n v="5813.51"/>
    <n v="40"/>
    <x v="0"/>
    <n v="3089.96"/>
    <n v="3258.45"/>
    <x v="1"/>
    <n v="0.28999999999999998"/>
    <s v="Cash"/>
    <x v="0"/>
    <s v="North-David"/>
    <x v="8"/>
    <n v="11"/>
    <n v="2023"/>
  </r>
  <r>
    <n v="1072"/>
    <d v="2023-12-26T00:00:00"/>
    <x v="2"/>
    <x v="0"/>
    <n v="3635.5"/>
    <n v="23"/>
    <x v="0"/>
    <n v="1662.83"/>
    <n v="2074.25"/>
    <x v="1"/>
    <n v="0.12"/>
    <s v="Bank Transfer"/>
    <x v="0"/>
    <s v="North-Charlie"/>
    <x v="9"/>
    <n v="12"/>
    <n v="2023"/>
  </r>
  <r>
    <n v="1027"/>
    <d v="2023-02-07T00:00:00"/>
    <x v="0"/>
    <x v="1"/>
    <n v="7896.74"/>
    <n v="3"/>
    <x v="1"/>
    <n v="999.09"/>
    <n v="1271.99"/>
    <x v="1"/>
    <n v="0.15"/>
    <s v="Credit Card"/>
    <x v="0"/>
    <s v="West-Bob"/>
    <x v="0"/>
    <n v="2"/>
    <n v="2023"/>
  </r>
  <r>
    <n v="1009"/>
    <d v="2023-05-14T00:00:00"/>
    <x v="1"/>
    <x v="1"/>
    <n v="2584.91"/>
    <n v="40"/>
    <x v="0"/>
    <n v="2799.71"/>
    <n v="3231.08"/>
    <x v="0"/>
    <n v="0.28999999999999998"/>
    <s v="Credit Card"/>
    <x v="1"/>
    <s v="West-David"/>
    <x v="10"/>
    <n v="5"/>
    <n v="2023"/>
  </r>
  <r>
    <n v="1062"/>
    <d v="2023-07-19T00:00:00"/>
    <x v="2"/>
    <x v="0"/>
    <n v="5684.33"/>
    <n v="10"/>
    <x v="3"/>
    <n v="2940.4"/>
    <n v="3054.79"/>
    <x v="0"/>
    <n v="0.08"/>
    <s v="Credit Card"/>
    <x v="0"/>
    <s v="North-Charlie"/>
    <x v="11"/>
    <n v="7"/>
    <n v="2023"/>
  </r>
  <r>
    <n v="1037"/>
    <d v="2023-01-23T00:00:00"/>
    <x v="2"/>
    <x v="3"/>
    <n v="3649.93"/>
    <n v="25"/>
    <x v="1"/>
    <n v="1074.6199999999999"/>
    <n v="1382.4299999999901"/>
    <x v="0"/>
    <n v="0.24"/>
    <s v="Credit Card"/>
    <x v="1"/>
    <s v="East-Charlie"/>
    <x v="5"/>
    <n v="1"/>
    <n v="2023"/>
  </r>
  <r>
    <n v="1097"/>
    <d v="2023-10-30T00:00:00"/>
    <x v="3"/>
    <x v="1"/>
    <n v="6600.65"/>
    <n v="49"/>
    <x v="3"/>
    <n v="4264.46"/>
    <n v="4315.5200000000004"/>
    <x v="1"/>
    <n v="7.0000000000000007E-2"/>
    <s v="Cash"/>
    <x v="1"/>
    <s v="West-Eve"/>
    <x v="7"/>
    <n v="10"/>
    <n v="2023"/>
  </r>
  <r>
    <n v="1051"/>
    <d v="2023-12-12T00:00:00"/>
    <x v="3"/>
    <x v="0"/>
    <n v="2479.9499999999998"/>
    <n v="8"/>
    <x v="2"/>
    <n v="467.11"/>
    <n v="792.21"/>
    <x v="1"/>
    <n v="0.2"/>
    <s v="Credit Card"/>
    <x v="0"/>
    <s v="North-Eve"/>
    <x v="9"/>
    <n v="12"/>
    <n v="2023"/>
  </r>
  <r>
    <n v="1044"/>
    <d v="2023-10-29T00:00:00"/>
    <x v="2"/>
    <x v="0"/>
    <n v="1996.77"/>
    <n v="11"/>
    <x v="2"/>
    <n v="1812.66"/>
    <n v="2196.3000000000002"/>
    <x v="1"/>
    <n v="0.08"/>
    <s v="Cash"/>
    <x v="0"/>
    <s v="North-Charlie"/>
    <x v="7"/>
    <n v="10"/>
    <n v="2023"/>
  </r>
  <r>
    <n v="1024"/>
    <d v="2023-12-29T00:00:00"/>
    <x v="3"/>
    <x v="0"/>
    <n v="9190.57"/>
    <n v="5"/>
    <x v="0"/>
    <n v="3417.9"/>
    <n v="3714.52"/>
    <x v="0"/>
    <n v="0.27"/>
    <s v="Credit Card"/>
    <x v="1"/>
    <s v="North-Eve"/>
    <x v="9"/>
    <n v="12"/>
    <n v="2023"/>
  </r>
  <r>
    <n v="1079"/>
    <d v="2023-08-06T00:00:00"/>
    <x v="1"/>
    <x v="0"/>
    <n v="1107.8599999999999"/>
    <n v="45"/>
    <x v="2"/>
    <n v="1406.9"/>
    <n v="1547.35"/>
    <x v="1"/>
    <n v="0.17"/>
    <s v="Cash"/>
    <x v="1"/>
    <s v="North-David"/>
    <x v="3"/>
    <n v="8"/>
    <n v="2023"/>
  </r>
  <r>
    <n v="1059"/>
    <d v="2023-05-21T00:00:00"/>
    <x v="4"/>
    <x v="0"/>
    <n v="5108.9799999999996"/>
    <n v="37"/>
    <x v="3"/>
    <n v="4146.99"/>
    <n v="4172.3499999999904"/>
    <x v="0"/>
    <n v="0.06"/>
    <s v="Cash"/>
    <x v="1"/>
    <s v="North-Alice"/>
    <x v="10"/>
    <n v="5"/>
    <n v="2023"/>
  </r>
  <r>
    <n v="1032"/>
    <d v="2023-04-14T00:00:00"/>
    <x v="1"/>
    <x v="0"/>
    <n v="2286.44"/>
    <n v="45"/>
    <x v="2"/>
    <n v="3712.35"/>
    <n v="3780.88"/>
    <x v="1"/>
    <n v="7.0000000000000007E-2"/>
    <s v="Cash"/>
    <x v="1"/>
    <s v="North-David"/>
    <x v="1"/>
    <n v="4"/>
    <n v="2023"/>
  </r>
  <r>
    <n v="1096"/>
    <d v="2023-07-29T00:00:00"/>
    <x v="2"/>
    <x v="1"/>
    <n v="485.41"/>
    <n v="38"/>
    <x v="3"/>
    <n v="3955.66"/>
    <n v="4270.59"/>
    <x v="0"/>
    <n v="0.15"/>
    <s v="Credit Card"/>
    <x v="0"/>
    <s v="West-Charlie"/>
    <x v="11"/>
    <n v="7"/>
    <n v="2023"/>
  </r>
  <r>
    <n v="1088"/>
    <d v="2023-04-21T00:00:00"/>
    <x v="2"/>
    <x v="3"/>
    <n v="456.59"/>
    <n v="29"/>
    <x v="0"/>
    <n v="639.58000000000004"/>
    <n v="1107.45"/>
    <x v="1"/>
    <n v="0.28999999999999998"/>
    <s v="Cash"/>
    <x v="1"/>
    <s v="East-Charlie"/>
    <x v="1"/>
    <n v="4"/>
    <n v="2023"/>
  </r>
  <r>
    <n v="1052"/>
    <d v="2023-04-14T00:00:00"/>
    <x v="1"/>
    <x v="0"/>
    <n v="1834.7"/>
    <n v="5"/>
    <x v="0"/>
    <n v="745.71"/>
    <n v="856.91"/>
    <x v="0"/>
    <n v="0.23"/>
    <s v="Bank Transfer"/>
    <x v="1"/>
    <s v="North-David"/>
    <x v="1"/>
    <n v="4"/>
    <n v="2023"/>
  </r>
  <r>
    <n v="1062"/>
    <d v="2023-11-12T00:00:00"/>
    <x v="3"/>
    <x v="2"/>
    <n v="8681.0300000000007"/>
    <n v="9"/>
    <x v="3"/>
    <n v="1468.05"/>
    <n v="1838.21"/>
    <x v="1"/>
    <n v="0.15"/>
    <s v="Bank Transfer"/>
    <x v="1"/>
    <s v="South-Eve"/>
    <x v="8"/>
    <n v="11"/>
    <n v="2023"/>
  </r>
  <r>
    <n v="1058"/>
    <d v="2023-06-20T00:00:00"/>
    <x v="3"/>
    <x v="1"/>
    <n v="2896.54"/>
    <n v="48"/>
    <x v="2"/>
    <n v="2614.48"/>
    <n v="3049.04"/>
    <x v="1"/>
    <n v="0.1"/>
    <s v="Credit Card"/>
    <x v="1"/>
    <s v="West-Eve"/>
    <x v="6"/>
    <n v="6"/>
    <n v="2023"/>
  </r>
  <r>
    <n v="1052"/>
    <d v="2023-12-22T00:00:00"/>
    <x v="2"/>
    <x v="1"/>
    <n v="9509.5499999999993"/>
    <n v="2"/>
    <x v="0"/>
    <n v="3752.68"/>
    <n v="4017.91"/>
    <x v="0"/>
    <n v="0.16"/>
    <s v="Bank Transfer"/>
    <x v="0"/>
    <s v="West-Charlie"/>
    <x v="9"/>
    <n v="12"/>
    <n v="2023"/>
  </r>
  <r>
    <n v="1012"/>
    <d v="2023-11-20T00:00:00"/>
    <x v="0"/>
    <x v="0"/>
    <n v="5858.06"/>
    <n v="1"/>
    <x v="1"/>
    <n v="4190.83"/>
    <n v="4528.7699999999904"/>
    <x v="0"/>
    <n v="0.22"/>
    <s v="Bank Transfer"/>
    <x v="0"/>
    <s v="North-Bob"/>
    <x v="8"/>
    <n v="11"/>
    <n v="2023"/>
  </r>
  <r>
    <n v="1039"/>
    <d v="2023-05-13T00:00:00"/>
    <x v="3"/>
    <x v="1"/>
    <n v="4422.4799999999996"/>
    <n v="40"/>
    <x v="0"/>
    <n v="3536.46"/>
    <n v="3945.82"/>
    <x v="1"/>
    <n v="0.24"/>
    <s v="Bank Transfer"/>
    <x v="0"/>
    <s v="West-Eve"/>
    <x v="10"/>
    <n v="5"/>
    <n v="2023"/>
  </r>
  <r>
    <n v="1002"/>
    <d v="2023-10-20T00:00:00"/>
    <x v="1"/>
    <x v="0"/>
    <n v="5842.88"/>
    <n v="30"/>
    <x v="2"/>
    <n v="4646.55"/>
    <n v="4784.28"/>
    <x v="0"/>
    <n v="0.1"/>
    <s v="Credit Card"/>
    <x v="1"/>
    <s v="North-David"/>
    <x v="7"/>
    <n v="10"/>
    <n v="2023"/>
  </r>
  <r>
    <n v="1003"/>
    <d v="2023-11-24T00:00:00"/>
    <x v="3"/>
    <x v="3"/>
    <n v="5215.3100000000004"/>
    <n v="11"/>
    <x v="1"/>
    <n v="3706.78"/>
    <n v="3862.26"/>
    <x v="1"/>
    <n v="0.22"/>
    <s v="Credit Card"/>
    <x v="1"/>
    <s v="East-Eve"/>
    <x v="8"/>
    <n v="11"/>
    <n v="2023"/>
  </r>
  <r>
    <n v="1056"/>
    <d v="2023-05-07T00:00:00"/>
    <x v="1"/>
    <x v="3"/>
    <n v="7611.88"/>
    <n v="28"/>
    <x v="2"/>
    <n v="1566.03"/>
    <n v="1576.34"/>
    <x v="0"/>
    <n v="0.2"/>
    <s v="Bank Transfer"/>
    <x v="0"/>
    <s v="East-David"/>
    <x v="10"/>
    <n v="5"/>
    <n v="2023"/>
  </r>
  <r>
    <n v="1081"/>
    <d v="2023-04-16T00:00:00"/>
    <x v="2"/>
    <x v="1"/>
    <n v="2896.71"/>
    <n v="44"/>
    <x v="3"/>
    <n v="1362.15"/>
    <n v="1844.07"/>
    <x v="1"/>
    <n v="0.28999999999999998"/>
    <s v="Credit Card"/>
    <x v="0"/>
    <s v="West-Charlie"/>
    <x v="1"/>
    <n v="4"/>
    <n v="2023"/>
  </r>
  <r>
    <n v="1059"/>
    <d v="2023-04-02T00:00:00"/>
    <x v="3"/>
    <x v="1"/>
    <n v="3595.2"/>
    <n v="12"/>
    <x v="1"/>
    <n v="3496.15"/>
    <n v="3955.75"/>
    <x v="0"/>
    <n v="0.28000000000000003"/>
    <s v="Cash"/>
    <x v="1"/>
    <s v="West-Eve"/>
    <x v="1"/>
    <n v="4"/>
    <n v="2023"/>
  </r>
  <r>
    <n v="1002"/>
    <d v="2023-10-14T00:00:00"/>
    <x v="1"/>
    <x v="2"/>
    <n v="8951.5300000000007"/>
    <n v="39"/>
    <x v="2"/>
    <n v="1004.71"/>
    <n v="1389.35"/>
    <x v="1"/>
    <n v="0.24"/>
    <s v="Bank Transfer"/>
    <x v="0"/>
    <s v="South-David"/>
    <x v="7"/>
    <n v="10"/>
    <n v="2023"/>
  </r>
  <r>
    <n v="1002"/>
    <d v="2023-02-20T00:00:00"/>
    <x v="2"/>
    <x v="1"/>
    <n v="9469.92"/>
    <n v="26"/>
    <x v="1"/>
    <n v="508.94"/>
    <n v="557.69000000000005"/>
    <x v="1"/>
    <n v="0.22"/>
    <s v="Credit Card"/>
    <x v="1"/>
    <s v="West-Charlie"/>
    <x v="0"/>
    <n v="2"/>
    <n v="2023"/>
  </r>
  <r>
    <n v="1092"/>
    <d v="2023-01-29T00:00:00"/>
    <x v="0"/>
    <x v="2"/>
    <n v="8936.33"/>
    <n v="13"/>
    <x v="2"/>
    <n v="2684.5"/>
    <n v="2913.78"/>
    <x v="1"/>
    <n v="0.08"/>
    <s v="Credit Card"/>
    <x v="1"/>
    <s v="South-Bob"/>
    <x v="5"/>
    <n v="1"/>
    <n v="2023"/>
  </r>
  <r>
    <n v="1054"/>
    <d v="2023-10-23T00:00:00"/>
    <x v="1"/>
    <x v="3"/>
    <n v="4252.54"/>
    <n v="8"/>
    <x v="1"/>
    <n v="4117.13"/>
    <n v="4177.0600000000004"/>
    <x v="0"/>
    <n v="0.25"/>
    <s v="Bank Transfer"/>
    <x v="1"/>
    <s v="East-David"/>
    <x v="7"/>
    <n v="10"/>
    <n v="2023"/>
  </r>
  <r>
    <n v="1087"/>
    <d v="2023-10-24T00:00:00"/>
    <x v="0"/>
    <x v="3"/>
    <n v="7825.62"/>
    <n v="28"/>
    <x v="2"/>
    <n v="551.83000000000004"/>
    <n v="569.63"/>
    <x v="1"/>
    <n v="0.13"/>
    <s v="Credit Card"/>
    <x v="1"/>
    <s v="East-Bob"/>
    <x v="7"/>
    <n v="10"/>
    <n v="2023"/>
  </r>
  <r>
    <n v="1096"/>
    <d v="2023-08-02T00:00:00"/>
    <x v="0"/>
    <x v="0"/>
    <n v="4815.72"/>
    <n v="30"/>
    <x v="3"/>
    <n v="3969.86"/>
    <n v="4281.79"/>
    <x v="0"/>
    <n v="0.08"/>
    <s v="Bank Transfer"/>
    <x v="1"/>
    <s v="North-Bob"/>
    <x v="3"/>
    <n v="8"/>
    <n v="2023"/>
  </r>
  <r>
    <n v="1097"/>
    <d v="2023-09-24T00:00:00"/>
    <x v="4"/>
    <x v="3"/>
    <n v="5025.6400000000003"/>
    <n v="9"/>
    <x v="1"/>
    <n v="4067.28"/>
    <n v="4548.09"/>
    <x v="0"/>
    <n v="0.12"/>
    <s v="Credit Card"/>
    <x v="1"/>
    <s v="East-Alice"/>
    <x v="2"/>
    <n v="9"/>
    <n v="2023"/>
  </r>
  <r>
    <n v="1001"/>
    <d v="2023-09-14T00:00:00"/>
    <x v="3"/>
    <x v="2"/>
    <n v="2126.33"/>
    <n v="39"/>
    <x v="1"/>
    <n v="2437.2600000000002"/>
    <n v="2889.67"/>
    <x v="0"/>
    <n v="0.25"/>
    <s v="Cash"/>
    <x v="0"/>
    <s v="South-Eve"/>
    <x v="2"/>
    <n v="9"/>
    <n v="2023"/>
  </r>
  <r>
    <n v="1019"/>
    <d v="2023-10-29T00:00:00"/>
    <x v="1"/>
    <x v="1"/>
    <n v="5952.19"/>
    <n v="31"/>
    <x v="1"/>
    <n v="333.69"/>
    <n v="685.1"/>
    <x v="1"/>
    <n v="0.04"/>
    <s v="Bank Transfer"/>
    <x v="0"/>
    <s v="West-David"/>
    <x v="7"/>
    <n v="10"/>
    <n v="2023"/>
  </r>
  <r>
    <n v="1002"/>
    <d v="2023-04-11T00:00:00"/>
    <x v="0"/>
    <x v="0"/>
    <n v="1942.75"/>
    <n v="21"/>
    <x v="1"/>
    <n v="914.22"/>
    <n v="971.57"/>
    <x v="0"/>
    <n v="0.14000000000000001"/>
    <s v="Cash"/>
    <x v="0"/>
    <s v="North-Bob"/>
    <x v="1"/>
    <n v="4"/>
    <n v="2023"/>
  </r>
  <r>
    <n v="1053"/>
    <d v="2023-12-12T00:00:00"/>
    <x v="4"/>
    <x v="2"/>
    <n v="3382.49"/>
    <n v="47"/>
    <x v="3"/>
    <n v="3551.76"/>
    <n v="3696.1"/>
    <x v="0"/>
    <n v="0.15"/>
    <s v="Bank Transfer"/>
    <x v="1"/>
    <s v="South-Alice"/>
    <x v="9"/>
    <n v="12"/>
    <n v="2023"/>
  </r>
  <r>
    <n v="1044"/>
    <d v="2023-04-20T00:00:00"/>
    <x v="2"/>
    <x v="1"/>
    <n v="8564.7999999999993"/>
    <n v="34"/>
    <x v="1"/>
    <n v="3573.3"/>
    <n v="3740.13"/>
    <x v="0"/>
    <n v="0.01"/>
    <s v="Credit Card"/>
    <x v="0"/>
    <s v="West-Charlie"/>
    <x v="1"/>
    <n v="4"/>
    <n v="2023"/>
  </r>
  <r>
    <n v="1090"/>
    <d v="2023-07-01T00:00:00"/>
    <x v="1"/>
    <x v="0"/>
    <n v="2150.0500000000002"/>
    <n v="31"/>
    <x v="0"/>
    <n v="4496.8599999999997"/>
    <n v="4880.7999999999902"/>
    <x v="1"/>
    <n v="0.06"/>
    <s v="Cash"/>
    <x v="1"/>
    <s v="North-David"/>
    <x v="11"/>
    <n v="7"/>
    <n v="2023"/>
  </r>
  <r>
    <n v="1032"/>
    <d v="2023-11-09T00:00:00"/>
    <x v="0"/>
    <x v="3"/>
    <n v="804.47"/>
    <n v="25"/>
    <x v="3"/>
    <n v="2934.3"/>
    <n v="3337.4"/>
    <x v="0"/>
    <n v="0.25"/>
    <s v="Credit Card"/>
    <x v="1"/>
    <s v="East-Bob"/>
    <x v="8"/>
    <n v="11"/>
    <n v="2023"/>
  </r>
  <r>
    <n v="1070"/>
    <d v="2023-01-01T00:00:00"/>
    <x v="3"/>
    <x v="2"/>
    <n v="783.18"/>
    <n v="12"/>
    <x v="0"/>
    <n v="664.33"/>
    <n v="863.03"/>
    <x v="0"/>
    <n v="0.25"/>
    <s v="Bank Transfer"/>
    <x v="1"/>
    <s v="South-Eve"/>
    <x v="5"/>
    <n v="1"/>
    <n v="2023"/>
  </r>
  <r>
    <n v="1032"/>
    <d v="2023-11-15T00:00:00"/>
    <x v="4"/>
    <x v="1"/>
    <n v="9413.77"/>
    <n v="1"/>
    <x v="1"/>
    <n v="651"/>
    <n v="865.76"/>
    <x v="0"/>
    <n v="0.09"/>
    <s v="Bank Transfer"/>
    <x v="1"/>
    <s v="West-Alice"/>
    <x v="8"/>
    <n v="11"/>
    <n v="2023"/>
  </r>
  <r>
    <n v="1068"/>
    <d v="2023-02-24T00:00:00"/>
    <x v="0"/>
    <x v="0"/>
    <n v="5118.51"/>
    <n v="22"/>
    <x v="2"/>
    <n v="3619.61"/>
    <n v="3651.42"/>
    <x v="0"/>
    <n v="0.26"/>
    <s v="Bank Transfer"/>
    <x v="0"/>
    <s v="North-Bob"/>
    <x v="0"/>
    <n v="2"/>
    <n v="2023"/>
  </r>
  <r>
    <n v="1055"/>
    <d v="2023-05-29T00:00:00"/>
    <x v="3"/>
    <x v="0"/>
    <n v="4153.18"/>
    <n v="40"/>
    <x v="0"/>
    <n v="959.73"/>
    <n v="1111.4100000000001"/>
    <x v="1"/>
    <n v="0.23"/>
    <s v="Bank Transfer"/>
    <x v="0"/>
    <s v="North-Eve"/>
    <x v="10"/>
    <n v="5"/>
    <n v="2023"/>
  </r>
  <r>
    <n v="1075"/>
    <d v="2023-11-05T00:00:00"/>
    <x v="0"/>
    <x v="3"/>
    <n v="8127.7"/>
    <n v="37"/>
    <x v="1"/>
    <n v="1675.51"/>
    <n v="1906.6399999999901"/>
    <x v="1"/>
    <n v="0.13"/>
    <s v="Bank Transfer"/>
    <x v="0"/>
    <s v="East-Bob"/>
    <x v="8"/>
    <n v="11"/>
    <n v="2023"/>
  </r>
  <r>
    <n v="1056"/>
    <d v="2023-05-17T00:00:00"/>
    <x v="1"/>
    <x v="1"/>
    <n v="8374.68"/>
    <n v="47"/>
    <x v="0"/>
    <n v="2461.6999999999998"/>
    <n v="2529.02"/>
    <x v="0"/>
    <n v="0.22"/>
    <s v="Cash"/>
    <x v="1"/>
    <s v="West-David"/>
    <x v="10"/>
    <n v="5"/>
    <n v="2023"/>
  </r>
  <r>
    <n v="1017"/>
    <d v="2023-07-21T00:00:00"/>
    <x v="1"/>
    <x v="3"/>
    <n v="3388.69"/>
    <n v="1"/>
    <x v="1"/>
    <n v="172.59"/>
    <n v="404.69"/>
    <x v="0"/>
    <n v="0.28999999999999998"/>
    <s v="Bank Transfer"/>
    <x v="0"/>
    <s v="East-David"/>
    <x v="11"/>
    <n v="7"/>
    <n v="2023"/>
  </r>
  <r>
    <n v="1038"/>
    <d v="2023-11-09T00:00:00"/>
    <x v="1"/>
    <x v="3"/>
    <n v="6966.82"/>
    <n v="1"/>
    <x v="1"/>
    <n v="1281.6500000000001"/>
    <n v="1709.71"/>
    <x v="0"/>
    <n v="0.14000000000000001"/>
    <s v="Credit Card"/>
    <x v="0"/>
    <s v="East-David"/>
    <x v="8"/>
    <n v="11"/>
    <n v="2023"/>
  </r>
  <r>
    <n v="1024"/>
    <d v="2023-04-27T00:00:00"/>
    <x v="4"/>
    <x v="1"/>
    <n v="7734.12"/>
    <n v="42"/>
    <x v="1"/>
    <n v="2069.0500000000002"/>
    <n v="2363.9"/>
    <x v="0"/>
    <n v="7.0000000000000007E-2"/>
    <s v="Cash"/>
    <x v="0"/>
    <s v="West-Alice"/>
    <x v="1"/>
    <n v="4"/>
    <n v="2023"/>
  </r>
  <r>
    <n v="1069"/>
    <d v="2023-06-03T00:00:00"/>
    <x v="1"/>
    <x v="1"/>
    <n v="6581.04"/>
    <n v="42"/>
    <x v="2"/>
    <n v="1434.2"/>
    <n v="1482.88"/>
    <x v="1"/>
    <n v="0.28000000000000003"/>
    <s v="Credit Card"/>
    <x v="1"/>
    <s v="West-David"/>
    <x v="6"/>
    <n v="6"/>
    <n v="2023"/>
  </r>
  <r>
    <n v="1098"/>
    <d v="2023-10-18T00:00:00"/>
    <x v="3"/>
    <x v="1"/>
    <n v="1600.79"/>
    <n v="21"/>
    <x v="0"/>
    <n v="725.03"/>
    <n v="828.94999999999902"/>
    <x v="1"/>
    <n v="0.18"/>
    <s v="Bank Transfer"/>
    <x v="0"/>
    <s v="West-Eve"/>
    <x v="7"/>
    <n v="10"/>
    <n v="2023"/>
  </r>
  <r>
    <n v="1070"/>
    <d v="2023-03-04T00:00:00"/>
    <x v="0"/>
    <x v="2"/>
    <n v="8771.24"/>
    <n v="15"/>
    <x v="3"/>
    <n v="3653.66"/>
    <n v="3896.19"/>
    <x v="1"/>
    <n v="0.03"/>
    <s v="Credit Card"/>
    <x v="1"/>
    <s v="South-Bob"/>
    <x v="4"/>
    <n v="3"/>
    <n v="2023"/>
  </r>
  <r>
    <n v="1086"/>
    <d v="2023-09-01T00:00:00"/>
    <x v="2"/>
    <x v="1"/>
    <n v="5437.04"/>
    <n v="17"/>
    <x v="3"/>
    <n v="4075.08"/>
    <n v="4262.21"/>
    <x v="1"/>
    <n v="0.17"/>
    <s v="Cash"/>
    <x v="0"/>
    <s v="West-Charlie"/>
    <x v="2"/>
    <n v="9"/>
    <n v="2023"/>
  </r>
  <r>
    <n v="1011"/>
    <d v="2023-01-25T00:00:00"/>
    <x v="3"/>
    <x v="0"/>
    <n v="2896.48"/>
    <n v="22"/>
    <x v="3"/>
    <n v="1324.52"/>
    <n v="1510.3"/>
    <x v="0"/>
    <n v="0.15"/>
    <s v="Cash"/>
    <x v="1"/>
    <s v="North-Eve"/>
    <x v="5"/>
    <n v="1"/>
    <n v="2023"/>
  </r>
  <r>
    <n v="1016"/>
    <d v="2023-03-31T00:00:00"/>
    <x v="3"/>
    <x v="3"/>
    <n v="4309.76"/>
    <n v="38"/>
    <x v="3"/>
    <n v="3883.38"/>
    <n v="4152.72"/>
    <x v="0"/>
    <n v="0.26"/>
    <s v="Cash"/>
    <x v="0"/>
    <s v="East-Eve"/>
    <x v="4"/>
    <n v="3"/>
    <n v="2023"/>
  </r>
  <r>
    <n v="1097"/>
    <d v="2023-03-16T00:00:00"/>
    <x v="1"/>
    <x v="2"/>
    <n v="471.95"/>
    <n v="35"/>
    <x v="1"/>
    <n v="1958.49"/>
    <n v="2254.84"/>
    <x v="1"/>
    <n v="0.16"/>
    <s v="Credit Card"/>
    <x v="0"/>
    <s v="South-David"/>
    <x v="4"/>
    <n v="3"/>
    <n v="2023"/>
  </r>
  <r>
    <n v="1073"/>
    <d v="2023-10-21T00:00:00"/>
    <x v="4"/>
    <x v="1"/>
    <n v="1365.88"/>
    <n v="45"/>
    <x v="0"/>
    <n v="2558.09"/>
    <n v="2958.55"/>
    <x v="1"/>
    <n v="0.08"/>
    <s v="Cash"/>
    <x v="0"/>
    <s v="West-Alice"/>
    <x v="7"/>
    <n v="10"/>
    <n v="2023"/>
  </r>
  <r>
    <n v="1059"/>
    <d v="2023-07-29T00:00:00"/>
    <x v="0"/>
    <x v="2"/>
    <n v="7678.91"/>
    <n v="16"/>
    <x v="0"/>
    <n v="4287.21"/>
    <n v="4464.28"/>
    <x v="0"/>
    <n v="0.2"/>
    <s v="Credit Card"/>
    <x v="1"/>
    <s v="South-Bob"/>
    <x v="11"/>
    <n v="7"/>
    <n v="2023"/>
  </r>
  <r>
    <n v="1070"/>
    <d v="2023-12-13T00:00:00"/>
    <x v="4"/>
    <x v="1"/>
    <n v="100.12"/>
    <n v="8"/>
    <x v="2"/>
    <n v="3762.27"/>
    <n v="4166.95"/>
    <x v="0"/>
    <n v="0.16"/>
    <s v="Bank Transfer"/>
    <x v="0"/>
    <s v="West-Alice"/>
    <x v="9"/>
    <n v="12"/>
    <n v="2023"/>
  </r>
  <r>
    <n v="1080"/>
    <d v="2023-01-17T00:00:00"/>
    <x v="0"/>
    <x v="2"/>
    <n v="4224"/>
    <n v="47"/>
    <x v="0"/>
    <n v="4035.33"/>
    <n v="4211.25"/>
    <x v="0"/>
    <n v="7.0000000000000007E-2"/>
    <s v="Bank Transfer"/>
    <x v="0"/>
    <s v="South-Bob"/>
    <x v="5"/>
    <n v="1"/>
    <n v="2023"/>
  </r>
  <r>
    <n v="1093"/>
    <d v="2023-05-08T00:00:00"/>
    <x v="0"/>
    <x v="3"/>
    <n v="5272.85"/>
    <n v="17"/>
    <x v="0"/>
    <n v="727.38"/>
    <n v="764.54"/>
    <x v="0"/>
    <n v="0.17"/>
    <s v="Credit Card"/>
    <x v="1"/>
    <s v="East-Bob"/>
    <x v="10"/>
    <n v="5"/>
    <n v="2023"/>
  </r>
  <r>
    <n v="1003"/>
    <d v="2023-12-30T00:00:00"/>
    <x v="4"/>
    <x v="3"/>
    <n v="640.88"/>
    <n v="17"/>
    <x v="0"/>
    <n v="395.11"/>
    <n v="676.66"/>
    <x v="0"/>
    <n v="0.25"/>
    <s v="Cash"/>
    <x v="1"/>
    <s v="East-Alice"/>
    <x v="9"/>
    <n v="12"/>
    <n v="2023"/>
  </r>
  <r>
    <n v="1020"/>
    <d v="2023-09-08T00:00:00"/>
    <x v="3"/>
    <x v="0"/>
    <n v="9733.4699999999993"/>
    <n v="26"/>
    <x v="2"/>
    <n v="4472.3500000000004"/>
    <n v="4770.42"/>
    <x v="1"/>
    <n v="0.01"/>
    <s v="Credit Card"/>
    <x v="1"/>
    <s v="North-Eve"/>
    <x v="2"/>
    <n v="9"/>
    <n v="2023"/>
  </r>
  <r>
    <n v="1059"/>
    <d v="2023-06-28T00:00:00"/>
    <x v="0"/>
    <x v="0"/>
    <n v="2338.64"/>
    <n v="13"/>
    <x v="3"/>
    <n v="1969.78"/>
    <n v="2437.6999999999998"/>
    <x v="1"/>
    <n v="0.19"/>
    <s v="Credit Card"/>
    <x v="1"/>
    <s v="North-Bob"/>
    <x v="6"/>
    <n v="6"/>
    <n v="2023"/>
  </r>
  <r>
    <n v="1036"/>
    <d v="2023-07-01T00:00:00"/>
    <x v="4"/>
    <x v="1"/>
    <n v="3111.57"/>
    <n v="17"/>
    <x v="0"/>
    <n v="1475"/>
    <n v="1840.77"/>
    <x v="0"/>
    <n v="0.1"/>
    <s v="Credit Card"/>
    <x v="0"/>
    <s v="West-Alice"/>
    <x v="11"/>
    <n v="7"/>
    <n v="2023"/>
  </r>
  <r>
    <n v="1019"/>
    <d v="2023-06-01T00:00:00"/>
    <x v="0"/>
    <x v="3"/>
    <n v="3109.03"/>
    <n v="38"/>
    <x v="2"/>
    <n v="3637.25"/>
    <n v="4096.96"/>
    <x v="0"/>
    <n v="0.09"/>
    <s v="Bank Transfer"/>
    <x v="0"/>
    <s v="East-Bob"/>
    <x v="6"/>
    <n v="6"/>
    <n v="2023"/>
  </r>
  <r>
    <n v="1090"/>
    <d v="2023-01-25T00:00:00"/>
    <x v="2"/>
    <x v="2"/>
    <n v="2381.12"/>
    <n v="17"/>
    <x v="2"/>
    <n v="4190.26"/>
    <n v="4645.3500000000004"/>
    <x v="1"/>
    <n v="0.12"/>
    <s v="Credit Card"/>
    <x v="1"/>
    <s v="South-Charlie"/>
    <x v="5"/>
    <n v="1"/>
    <n v="2023"/>
  </r>
  <r>
    <n v="1067"/>
    <d v="2023-06-29T00:00:00"/>
    <x v="3"/>
    <x v="2"/>
    <n v="114.59"/>
    <n v="48"/>
    <x v="1"/>
    <n v="4319.32"/>
    <n v="4625.5599999999904"/>
    <x v="0"/>
    <n v="0.1"/>
    <s v="Bank Transfer"/>
    <x v="0"/>
    <s v="South-Eve"/>
    <x v="6"/>
    <n v="6"/>
    <n v="2023"/>
  </r>
  <r>
    <n v="1019"/>
    <d v="2023-07-17T00:00:00"/>
    <x v="1"/>
    <x v="2"/>
    <n v="7320.51"/>
    <n v="14"/>
    <x v="2"/>
    <n v="1614.19"/>
    <n v="1882.79"/>
    <x v="1"/>
    <n v="0.25"/>
    <s v="Credit Card"/>
    <x v="1"/>
    <s v="South-David"/>
    <x v="11"/>
    <n v="7"/>
    <n v="2023"/>
  </r>
  <r>
    <n v="1020"/>
    <d v="2023-12-10T00:00:00"/>
    <x v="0"/>
    <x v="0"/>
    <n v="9671.77"/>
    <n v="45"/>
    <x v="3"/>
    <n v="4268.45"/>
    <n v="4551.5999999999904"/>
    <x v="1"/>
    <n v="0.08"/>
    <s v="Bank Transfer"/>
    <x v="0"/>
    <s v="North-Bob"/>
    <x v="9"/>
    <n v="12"/>
    <n v="2023"/>
  </r>
  <r>
    <n v="1096"/>
    <d v="2023-06-10T00:00:00"/>
    <x v="2"/>
    <x v="2"/>
    <n v="2320.5100000000002"/>
    <n v="6"/>
    <x v="0"/>
    <n v="252.62"/>
    <n v="742"/>
    <x v="1"/>
    <n v="0.22"/>
    <s v="Credit Card"/>
    <x v="1"/>
    <s v="South-Charlie"/>
    <x v="6"/>
    <n v="6"/>
    <n v="2023"/>
  </r>
  <r>
    <n v="1071"/>
    <d v="2023-06-26T00:00:00"/>
    <x v="1"/>
    <x v="0"/>
    <n v="6664.17"/>
    <n v="35"/>
    <x v="2"/>
    <n v="295.82"/>
    <n v="684.67"/>
    <x v="1"/>
    <n v="0.03"/>
    <s v="Credit Card"/>
    <x v="0"/>
    <s v="North-David"/>
    <x v="6"/>
    <n v="6"/>
    <n v="2023"/>
  </r>
  <r>
    <n v="1052"/>
    <d v="2023-10-12T00:00:00"/>
    <x v="1"/>
    <x v="0"/>
    <n v="7444.77"/>
    <n v="46"/>
    <x v="3"/>
    <n v="3136.42"/>
    <n v="3198.49"/>
    <x v="0"/>
    <n v="0.28999999999999998"/>
    <s v="Cash"/>
    <x v="1"/>
    <s v="North-David"/>
    <x v="7"/>
    <n v="10"/>
    <n v="2023"/>
  </r>
  <r>
    <n v="1033"/>
    <d v="2023-03-04T00:00:00"/>
    <x v="0"/>
    <x v="1"/>
    <n v="8499.41"/>
    <n v="14"/>
    <x v="2"/>
    <n v="362.38"/>
    <n v="753.81"/>
    <x v="0"/>
    <n v="0.19"/>
    <s v="Cash"/>
    <x v="1"/>
    <s v="West-Bob"/>
    <x v="4"/>
    <n v="3"/>
    <n v="2023"/>
  </r>
  <r>
    <n v="1040"/>
    <d v="2023-05-30T00:00:00"/>
    <x v="4"/>
    <x v="2"/>
    <n v="4284.03"/>
    <n v="47"/>
    <x v="2"/>
    <n v="1656.82"/>
    <n v="1750.3799999999901"/>
    <x v="1"/>
    <n v="0.21"/>
    <s v="Credit Card"/>
    <x v="0"/>
    <s v="South-Alice"/>
    <x v="10"/>
    <n v="5"/>
    <n v="2023"/>
  </r>
  <r>
    <n v="1039"/>
    <d v="2023-06-03T00:00:00"/>
    <x v="0"/>
    <x v="2"/>
    <n v="3099.02"/>
    <n v="8"/>
    <x v="2"/>
    <n v="3380.14"/>
    <n v="3609.3399999999901"/>
    <x v="0"/>
    <n v="0.09"/>
    <s v="Credit Card"/>
    <x v="0"/>
    <s v="South-Bob"/>
    <x v="6"/>
    <n v="6"/>
    <n v="2023"/>
  </r>
  <r>
    <n v="1082"/>
    <d v="2023-06-05T00:00:00"/>
    <x v="2"/>
    <x v="3"/>
    <n v="3320.42"/>
    <n v="15"/>
    <x v="2"/>
    <n v="1719.47"/>
    <n v="1832.6"/>
    <x v="0"/>
    <n v="0.12"/>
    <s v="Credit Card"/>
    <x v="0"/>
    <s v="East-Charlie"/>
    <x v="6"/>
    <n v="6"/>
    <n v="2023"/>
  </r>
  <r>
    <n v="1001"/>
    <d v="2023-02-18T00:00:00"/>
    <x v="1"/>
    <x v="1"/>
    <n v="7154.95"/>
    <n v="27"/>
    <x v="2"/>
    <n v="939.02"/>
    <n v="1286.92"/>
    <x v="0"/>
    <n v="7.0000000000000007E-2"/>
    <s v="Credit Card"/>
    <x v="1"/>
    <s v="West-David"/>
    <x v="0"/>
    <n v="2"/>
    <n v="2023"/>
  </r>
  <r>
    <n v="1011"/>
    <d v="2023-12-03T00:00:00"/>
    <x v="0"/>
    <x v="3"/>
    <n v="8186.12"/>
    <n v="13"/>
    <x v="3"/>
    <n v="1442.69"/>
    <n v="1882.57"/>
    <x v="0"/>
    <n v="0.28000000000000003"/>
    <s v="Cash"/>
    <x v="0"/>
    <s v="East-Bob"/>
    <x v="9"/>
    <n v="12"/>
    <n v="2023"/>
  </r>
  <r>
    <n v="1092"/>
    <d v="2023-03-25T00:00:00"/>
    <x v="4"/>
    <x v="1"/>
    <n v="1897.98"/>
    <n v="49"/>
    <x v="0"/>
    <n v="2315"/>
    <n v="2467.2800000000002"/>
    <x v="1"/>
    <n v="0.15"/>
    <s v="Bank Transfer"/>
    <x v="1"/>
    <s v="West-Alice"/>
    <x v="4"/>
    <n v="3"/>
    <n v="2023"/>
  </r>
  <r>
    <n v="1057"/>
    <d v="2023-12-27T00:00:00"/>
    <x v="0"/>
    <x v="2"/>
    <n v="3772.32"/>
    <n v="31"/>
    <x v="0"/>
    <n v="2403.16"/>
    <n v="2453.35"/>
    <x v="0"/>
    <n v="0.19"/>
    <s v="Credit Card"/>
    <x v="0"/>
    <s v="South-Bob"/>
    <x v="9"/>
    <n v="12"/>
    <n v="2023"/>
  </r>
  <r>
    <n v="1089"/>
    <d v="2023-06-26T00:00:00"/>
    <x v="3"/>
    <x v="0"/>
    <n v="9029.2099999999991"/>
    <n v="35"/>
    <x v="0"/>
    <n v="3925.85"/>
    <n v="4082.1099999999901"/>
    <x v="1"/>
    <n v="0.22"/>
    <s v="Cash"/>
    <x v="0"/>
    <s v="North-Eve"/>
    <x v="6"/>
    <n v="6"/>
    <n v="2023"/>
  </r>
  <r>
    <n v="1050"/>
    <d v="2023-05-28T00:00:00"/>
    <x v="4"/>
    <x v="0"/>
    <n v="8086.27"/>
    <n v="6"/>
    <x v="0"/>
    <n v="3763.26"/>
    <n v="4102.72"/>
    <x v="1"/>
    <n v="0.11"/>
    <s v="Credit Card"/>
    <x v="1"/>
    <s v="North-Alice"/>
    <x v="10"/>
    <n v="5"/>
    <n v="2023"/>
  </r>
  <r>
    <n v="1023"/>
    <d v="2023-04-28T00:00:00"/>
    <x v="2"/>
    <x v="0"/>
    <n v="9850.1"/>
    <n v="5"/>
    <x v="3"/>
    <n v="2311.25"/>
    <n v="2482.34"/>
    <x v="0"/>
    <n v="0.22"/>
    <s v="Credit Card"/>
    <x v="1"/>
    <s v="North-Charlie"/>
    <x v="1"/>
    <n v="4"/>
    <n v="2023"/>
  </r>
  <r>
    <n v="1031"/>
    <d v="2023-12-08T00:00:00"/>
    <x v="1"/>
    <x v="0"/>
    <n v="7567.06"/>
    <n v="22"/>
    <x v="1"/>
    <n v="4236.05"/>
    <n v="4382.32"/>
    <x v="1"/>
    <n v="0.2"/>
    <s v="Bank Transfer"/>
    <x v="0"/>
    <s v="North-David"/>
    <x v="9"/>
    <n v="12"/>
    <n v="2023"/>
  </r>
  <r>
    <n v="1094"/>
    <d v="2023-03-04T00:00:00"/>
    <x v="0"/>
    <x v="0"/>
    <n v="3992.63"/>
    <n v="49"/>
    <x v="1"/>
    <n v="615.47"/>
    <n v="715.84"/>
    <x v="0"/>
    <n v="0.21"/>
    <s v="Credit Card"/>
    <x v="1"/>
    <s v="North-Bob"/>
    <x v="4"/>
    <n v="3"/>
    <n v="2023"/>
  </r>
  <r>
    <n v="1042"/>
    <d v="2023-07-08T00:00:00"/>
    <x v="4"/>
    <x v="3"/>
    <n v="5947.31"/>
    <n v="23"/>
    <x v="3"/>
    <n v="1314"/>
    <n v="1567.78"/>
    <x v="0"/>
    <n v="0.15"/>
    <s v="Credit Card"/>
    <x v="1"/>
    <s v="East-Alice"/>
    <x v="11"/>
    <n v="7"/>
    <n v="2023"/>
  </r>
  <r>
    <n v="1099"/>
    <d v="2023-12-26T00:00:00"/>
    <x v="3"/>
    <x v="1"/>
    <n v="6644.04"/>
    <n v="25"/>
    <x v="3"/>
    <n v="4148.4799999999996"/>
    <n v="4293.6899999999996"/>
    <x v="1"/>
    <n v="0.11"/>
    <s v="Bank Transfer"/>
    <x v="0"/>
    <s v="West-Eve"/>
    <x v="9"/>
    <n v="12"/>
    <n v="2023"/>
  </r>
  <r>
    <n v="1007"/>
    <d v="2023-02-18T00:00:00"/>
    <x v="4"/>
    <x v="2"/>
    <n v="876.71"/>
    <n v="34"/>
    <x v="2"/>
    <n v="1921.07"/>
    <n v="2289.27"/>
    <x v="0"/>
    <n v="7.0000000000000007E-2"/>
    <s v="Bank Transfer"/>
    <x v="1"/>
    <s v="South-Alice"/>
    <x v="0"/>
    <n v="2"/>
    <n v="2023"/>
  </r>
  <r>
    <n v="1016"/>
    <d v="2023-11-23T00:00:00"/>
    <x v="3"/>
    <x v="3"/>
    <n v="5490.52"/>
    <n v="26"/>
    <x v="2"/>
    <n v="4906.8500000000004"/>
    <n v="4954.3900000000003"/>
    <x v="1"/>
    <n v="0.25"/>
    <s v="Bank Transfer"/>
    <x v="0"/>
    <s v="East-Eve"/>
    <x v="8"/>
    <n v="11"/>
    <n v="2023"/>
  </r>
  <r>
    <n v="1090"/>
    <d v="2023-09-14T00:00:00"/>
    <x v="2"/>
    <x v="1"/>
    <n v="7122.28"/>
    <n v="47"/>
    <x v="2"/>
    <n v="2357.9499999999998"/>
    <n v="2693.33"/>
    <x v="1"/>
    <n v="0.18"/>
    <s v="Bank Transfer"/>
    <x v="0"/>
    <s v="West-Charlie"/>
    <x v="2"/>
    <n v="9"/>
    <n v="2023"/>
  </r>
  <r>
    <n v="1060"/>
    <d v="2023-08-12T00:00:00"/>
    <x v="1"/>
    <x v="0"/>
    <n v="1756.48"/>
    <n v="5"/>
    <x v="0"/>
    <n v="3970.08"/>
    <n v="4096.4799999999996"/>
    <x v="0"/>
    <n v="0.13"/>
    <s v="Cash"/>
    <x v="1"/>
    <s v="North-David"/>
    <x v="3"/>
    <n v="8"/>
    <n v="2023"/>
  </r>
  <r>
    <n v="1002"/>
    <d v="2023-05-21T00:00:00"/>
    <x v="2"/>
    <x v="1"/>
    <n v="7828.25"/>
    <n v="26"/>
    <x v="2"/>
    <n v="2041.42"/>
    <n v="2291.17"/>
    <x v="0"/>
    <n v="0.28000000000000003"/>
    <s v="Cash"/>
    <x v="0"/>
    <s v="West-Charlie"/>
    <x v="10"/>
    <n v="5"/>
    <n v="2023"/>
  </r>
  <r>
    <n v="1001"/>
    <d v="2023-08-03T00:00:00"/>
    <x v="0"/>
    <x v="1"/>
    <n v="5879.35"/>
    <n v="20"/>
    <x v="1"/>
    <n v="2153.52"/>
    <n v="2303.6999999999998"/>
    <x v="0"/>
    <n v="0.01"/>
    <s v="Cash"/>
    <x v="1"/>
    <s v="West-Bob"/>
    <x v="3"/>
    <n v="8"/>
    <n v="2023"/>
  </r>
  <r>
    <n v="1048"/>
    <d v="2023-07-30T00:00:00"/>
    <x v="4"/>
    <x v="0"/>
    <n v="9527"/>
    <n v="6"/>
    <x v="0"/>
    <n v="1945.27"/>
    <n v="2309.4299999999998"/>
    <x v="1"/>
    <n v="0.26"/>
    <s v="Credit Card"/>
    <x v="0"/>
    <s v="North-Alice"/>
    <x v="11"/>
    <n v="7"/>
    <n v="2023"/>
  </r>
  <r>
    <n v="1012"/>
    <d v="2023-11-14T00:00:00"/>
    <x v="3"/>
    <x v="0"/>
    <n v="519.98"/>
    <n v="6"/>
    <x v="2"/>
    <n v="3609.42"/>
    <n v="4082.62"/>
    <x v="0"/>
    <n v="0.3"/>
    <s v="Bank Transfer"/>
    <x v="1"/>
    <s v="North-Eve"/>
    <x v="8"/>
    <n v="11"/>
    <n v="2023"/>
  </r>
  <r>
    <n v="1069"/>
    <d v="2023-02-01T00:00:00"/>
    <x v="3"/>
    <x v="0"/>
    <n v="2726.73"/>
    <n v="18"/>
    <x v="0"/>
    <n v="2760.21"/>
    <n v="3219.58"/>
    <x v="1"/>
    <n v="0.27"/>
    <s v="Bank Transfer"/>
    <x v="1"/>
    <s v="North-Eve"/>
    <x v="0"/>
    <n v="2"/>
    <n v="2023"/>
  </r>
  <r>
    <n v="1037"/>
    <d v="2023-06-07T00:00:00"/>
    <x v="4"/>
    <x v="2"/>
    <n v="6055.38"/>
    <n v="4"/>
    <x v="1"/>
    <n v="4721.7"/>
    <n v="5017.58"/>
    <x v="1"/>
    <n v="0.24"/>
    <s v="Cash"/>
    <x v="1"/>
    <s v="South-Alice"/>
    <x v="6"/>
    <n v="6"/>
    <n v="2023"/>
  </r>
  <r>
    <n v="1032"/>
    <d v="2023-10-12T00:00:00"/>
    <x v="4"/>
    <x v="0"/>
    <n v="3035.94"/>
    <n v="17"/>
    <x v="2"/>
    <n v="1291.9100000000001"/>
    <n v="1528.59"/>
    <x v="0"/>
    <n v="0.11"/>
    <s v="Credit Card"/>
    <x v="1"/>
    <s v="North-Alice"/>
    <x v="7"/>
    <n v="10"/>
    <n v="2023"/>
  </r>
  <r>
    <n v="1009"/>
    <d v="2023-11-01T00:00:00"/>
    <x v="0"/>
    <x v="2"/>
    <n v="7172.8"/>
    <n v="14"/>
    <x v="1"/>
    <n v="547.79"/>
    <n v="958.76"/>
    <x v="0"/>
    <n v="7.0000000000000007E-2"/>
    <s v="Credit Card"/>
    <x v="1"/>
    <s v="South-Bob"/>
    <x v="8"/>
    <n v="11"/>
    <n v="2023"/>
  </r>
  <r>
    <n v="1099"/>
    <d v="2023-10-13T00:00:00"/>
    <x v="2"/>
    <x v="0"/>
    <n v="7614.15"/>
    <n v="14"/>
    <x v="1"/>
    <n v="1996.64"/>
    <n v="2341.4699999999998"/>
    <x v="0"/>
    <n v="0.22"/>
    <s v="Credit Card"/>
    <x v="0"/>
    <s v="North-Charlie"/>
    <x v="7"/>
    <n v="10"/>
    <n v="2023"/>
  </r>
  <r>
    <n v="1019"/>
    <d v="2023-05-24T00:00:00"/>
    <x v="3"/>
    <x v="2"/>
    <n v="1114.9100000000001"/>
    <n v="13"/>
    <x v="1"/>
    <n v="3102.73"/>
    <n v="3202.68"/>
    <x v="1"/>
    <n v="0.09"/>
    <s v="Cash"/>
    <x v="0"/>
    <s v="South-Eve"/>
    <x v="10"/>
    <n v="5"/>
    <n v="2023"/>
  </r>
  <r>
    <n v="1048"/>
    <d v="2023-01-19T00:00:00"/>
    <x v="0"/>
    <x v="1"/>
    <n v="5187.16"/>
    <n v="7"/>
    <x v="2"/>
    <n v="4310.95"/>
    <n v="4723.2"/>
    <x v="0"/>
    <n v="0.05"/>
    <s v="Credit Card"/>
    <x v="1"/>
    <s v="West-Bob"/>
    <x v="5"/>
    <n v="1"/>
    <n v="2023"/>
  </r>
  <r>
    <n v="1080"/>
    <d v="2023-01-18T00:00:00"/>
    <x v="2"/>
    <x v="3"/>
    <n v="5138.0200000000004"/>
    <n v="44"/>
    <x v="3"/>
    <n v="1763.67"/>
    <n v="1983.82"/>
    <x v="1"/>
    <n v="0.24"/>
    <s v="Credit Card"/>
    <x v="0"/>
    <s v="East-Charlie"/>
    <x v="5"/>
    <n v="1"/>
    <n v="2023"/>
  </r>
  <r>
    <n v="1003"/>
    <d v="2023-09-14T00:00:00"/>
    <x v="0"/>
    <x v="1"/>
    <n v="3755.88"/>
    <n v="15"/>
    <x v="2"/>
    <n v="3286.24"/>
    <n v="3388.8399999999901"/>
    <x v="0"/>
    <n v="0.09"/>
    <s v="Credit Card"/>
    <x v="1"/>
    <s v="West-Bob"/>
    <x v="2"/>
    <n v="9"/>
    <n v="2023"/>
  </r>
  <r>
    <n v="1020"/>
    <d v="2023-03-19T00:00:00"/>
    <x v="3"/>
    <x v="1"/>
    <n v="9335.9599999999991"/>
    <n v="19"/>
    <x v="1"/>
    <n v="1783.48"/>
    <n v="1931.56"/>
    <x v="0"/>
    <n v="0.27"/>
    <s v="Bank Transfer"/>
    <x v="1"/>
    <s v="West-Eve"/>
    <x v="4"/>
    <n v="3"/>
    <n v="2023"/>
  </r>
  <r>
    <n v="1024"/>
    <d v="2023-06-24T00:00:00"/>
    <x v="4"/>
    <x v="0"/>
    <n v="8292.31"/>
    <n v="43"/>
    <x v="2"/>
    <n v="3105.24"/>
    <n v="3246.33"/>
    <x v="1"/>
    <n v="0.25"/>
    <s v="Cash"/>
    <x v="0"/>
    <s v="North-Alice"/>
    <x v="6"/>
    <n v="6"/>
    <n v="2023"/>
  </r>
  <r>
    <n v="1054"/>
    <d v="2023-07-13T00:00:00"/>
    <x v="4"/>
    <x v="2"/>
    <n v="7002.37"/>
    <n v="47"/>
    <x v="1"/>
    <n v="4429.8"/>
    <n v="4694.21"/>
    <x v="1"/>
    <n v="0.25"/>
    <s v="Bank Transfer"/>
    <x v="0"/>
    <s v="South-Alice"/>
    <x v="11"/>
    <n v="7"/>
    <n v="2023"/>
  </r>
  <r>
    <n v="1033"/>
    <d v="2023-04-23T00:00:00"/>
    <x v="2"/>
    <x v="3"/>
    <n v="7171.83"/>
    <n v="44"/>
    <x v="3"/>
    <n v="1195.22"/>
    <n v="1320.06"/>
    <x v="0"/>
    <n v="0.23"/>
    <s v="Bank Transfer"/>
    <x v="1"/>
    <s v="East-Charlie"/>
    <x v="1"/>
    <n v="4"/>
    <n v="2023"/>
  </r>
  <r>
    <n v="1024"/>
    <d v="2023-04-24T00:00:00"/>
    <x v="1"/>
    <x v="0"/>
    <n v="4670.99"/>
    <n v="35"/>
    <x v="0"/>
    <n v="2051"/>
    <n v="2121.5500000000002"/>
    <x v="0"/>
    <n v="0.26"/>
    <s v="Cash"/>
    <x v="1"/>
    <s v="North-David"/>
    <x v="1"/>
    <n v="4"/>
    <n v="2023"/>
  </r>
  <r>
    <n v="1075"/>
    <d v="2023-08-10T00:00:00"/>
    <x v="2"/>
    <x v="0"/>
    <n v="9217.85"/>
    <n v="17"/>
    <x v="3"/>
    <n v="4966.66"/>
    <n v="5037.2699999999904"/>
    <x v="0"/>
    <n v="0.24"/>
    <s v="Bank Transfer"/>
    <x v="1"/>
    <s v="North-Charlie"/>
    <x v="3"/>
    <n v="8"/>
    <n v="2023"/>
  </r>
  <r>
    <n v="1072"/>
    <d v="2023-06-15T00:00:00"/>
    <x v="1"/>
    <x v="0"/>
    <n v="6976.49"/>
    <n v="35"/>
    <x v="3"/>
    <n v="4349.3599999999997"/>
    <n v="4645.17"/>
    <x v="0"/>
    <n v="0.18"/>
    <s v="Credit Card"/>
    <x v="1"/>
    <s v="North-David"/>
    <x v="6"/>
    <n v="6"/>
    <n v="2023"/>
  </r>
  <r>
    <n v="1036"/>
    <d v="2023-11-15T00:00:00"/>
    <x v="0"/>
    <x v="1"/>
    <n v="7316.91"/>
    <n v="19"/>
    <x v="0"/>
    <n v="2844.97"/>
    <n v="3215"/>
    <x v="0"/>
    <n v="0.09"/>
    <s v="Credit Card"/>
    <x v="1"/>
    <s v="West-Bob"/>
    <x v="8"/>
    <n v="11"/>
    <n v="2023"/>
  </r>
  <r>
    <n v="1038"/>
    <d v="2023-05-12T00:00:00"/>
    <x v="0"/>
    <x v="2"/>
    <n v="8630.74"/>
    <n v="20"/>
    <x v="2"/>
    <n v="2607.31"/>
    <n v="2774.86"/>
    <x v="1"/>
    <n v="0.27"/>
    <s v="Credit Card"/>
    <x v="1"/>
    <s v="South-Bob"/>
    <x v="10"/>
    <n v="5"/>
    <n v="2023"/>
  </r>
  <r>
    <n v="1084"/>
    <d v="2023-09-21T00:00:00"/>
    <x v="3"/>
    <x v="2"/>
    <n v="2813.31"/>
    <n v="36"/>
    <x v="0"/>
    <n v="1458.77"/>
    <n v="1485.75"/>
    <x v="1"/>
    <n v="0.25"/>
    <s v="Credit Card"/>
    <x v="0"/>
    <s v="South-Eve"/>
    <x v="2"/>
    <n v="9"/>
    <n v="2023"/>
  </r>
  <r>
    <n v="1099"/>
    <d v="2023-02-24T00:00:00"/>
    <x v="1"/>
    <x v="3"/>
    <n v="8090"/>
    <n v="35"/>
    <x v="2"/>
    <n v="2610.19"/>
    <n v="2682.53"/>
    <x v="1"/>
    <n v="0.14000000000000001"/>
    <s v="Cash"/>
    <x v="1"/>
    <s v="East-David"/>
    <x v="0"/>
    <n v="2"/>
    <n v="2023"/>
  </r>
  <r>
    <n v="1089"/>
    <d v="2023-12-25T00:00:00"/>
    <x v="3"/>
    <x v="2"/>
    <n v="2032.88"/>
    <n v="32"/>
    <x v="2"/>
    <n v="4248.5"/>
    <n v="4706.7"/>
    <x v="1"/>
    <n v="0.01"/>
    <s v="Bank Transfer"/>
    <x v="1"/>
    <s v="South-Eve"/>
    <x v="9"/>
    <n v="12"/>
    <n v="2023"/>
  </r>
  <r>
    <n v="1099"/>
    <d v="2023-05-11T00:00:00"/>
    <x v="4"/>
    <x v="2"/>
    <n v="3518.89"/>
    <n v="48"/>
    <x v="1"/>
    <n v="3441.61"/>
    <n v="3693.45"/>
    <x v="0"/>
    <n v="0.19"/>
    <s v="Bank Transfer"/>
    <x v="0"/>
    <s v="South-Alice"/>
    <x v="10"/>
    <n v="5"/>
    <n v="2023"/>
  </r>
  <r>
    <n v="1025"/>
    <d v="2023-10-15T00:00:00"/>
    <x v="1"/>
    <x v="0"/>
    <n v="3422.54"/>
    <n v="44"/>
    <x v="1"/>
    <n v="1485.72"/>
    <n v="1717.97"/>
    <x v="1"/>
    <n v="0.02"/>
    <s v="Credit Card"/>
    <x v="1"/>
    <s v="North-David"/>
    <x v="7"/>
    <n v="10"/>
    <n v="2023"/>
  </r>
  <r>
    <n v="1093"/>
    <d v="2023-09-23T00:00:00"/>
    <x v="2"/>
    <x v="0"/>
    <n v="9787.4"/>
    <n v="40"/>
    <x v="0"/>
    <n v="1047.25"/>
    <n v="1075.8900000000001"/>
    <x v="1"/>
    <n v="0.28000000000000003"/>
    <s v="Credit Card"/>
    <x v="1"/>
    <s v="North-Charlie"/>
    <x v="2"/>
    <n v="9"/>
    <n v="2023"/>
  </r>
  <r>
    <n v="1018"/>
    <d v="2024-01-01T00:00:00"/>
    <x v="4"/>
    <x v="1"/>
    <n v="8579.7199999999993"/>
    <n v="24"/>
    <x v="3"/>
    <n v="1362.78"/>
    <n v="1729.81"/>
    <x v="1"/>
    <n v="0.28999999999999998"/>
    <s v="Bank Transfer"/>
    <x v="0"/>
    <s v="West-Alice"/>
    <x v="5"/>
    <n v="1"/>
    <n v="2024"/>
  </r>
  <r>
    <n v="1082"/>
    <d v="2023-06-11T00:00:00"/>
    <x v="4"/>
    <x v="0"/>
    <n v="7041.58"/>
    <n v="17"/>
    <x v="0"/>
    <n v="890.31"/>
    <n v="1159.06"/>
    <x v="0"/>
    <n v="0.06"/>
    <s v="Cash"/>
    <x v="1"/>
    <s v="North-Alice"/>
    <x v="6"/>
    <n v="6"/>
    <n v="2023"/>
  </r>
  <r>
    <n v="1066"/>
    <d v="2023-03-28T00:00:00"/>
    <x v="2"/>
    <x v="0"/>
    <n v="7297.86"/>
    <n v="7"/>
    <x v="2"/>
    <n v="523.41999999999996"/>
    <n v="632.43999999999903"/>
    <x v="1"/>
    <n v="0.2"/>
    <s v="Bank Transfer"/>
    <x v="0"/>
    <s v="North-Charlie"/>
    <x v="4"/>
    <n v="3"/>
    <n v="2023"/>
  </r>
  <r>
    <n v="1054"/>
    <d v="2023-02-24T00:00:00"/>
    <x v="4"/>
    <x v="0"/>
    <n v="5664.52"/>
    <n v="43"/>
    <x v="1"/>
    <n v="2124.7199999999998"/>
    <n v="2188.66"/>
    <x v="0"/>
    <n v="0.03"/>
    <s v="Credit Card"/>
    <x v="1"/>
    <s v="North-Alice"/>
    <x v="0"/>
    <n v="2"/>
    <n v="2023"/>
  </r>
  <r>
    <n v="1035"/>
    <d v="2023-10-15T00:00:00"/>
    <x v="1"/>
    <x v="0"/>
    <n v="9476.2000000000007"/>
    <n v="1"/>
    <x v="0"/>
    <n v="610.83000000000004"/>
    <n v="808.69"/>
    <x v="1"/>
    <n v="0.22"/>
    <s v="Credit Card"/>
    <x v="0"/>
    <s v="North-David"/>
    <x v="7"/>
    <n v="10"/>
    <n v="2023"/>
  </r>
  <r>
    <n v="1080"/>
    <d v="2023-06-27T00:00:00"/>
    <x v="3"/>
    <x v="1"/>
    <n v="5012.96"/>
    <n v="35"/>
    <x v="0"/>
    <n v="900.97"/>
    <n v="1321.18"/>
    <x v="0"/>
    <n v="0.1"/>
    <s v="Cash"/>
    <x v="0"/>
    <s v="West-Eve"/>
    <x v="6"/>
    <n v="6"/>
    <n v="2023"/>
  </r>
  <r>
    <n v="1061"/>
    <d v="2023-12-15T00:00:00"/>
    <x v="4"/>
    <x v="0"/>
    <n v="3867.13"/>
    <n v="32"/>
    <x v="1"/>
    <n v="2759.26"/>
    <n v="3193.25"/>
    <x v="1"/>
    <n v="0.2"/>
    <s v="Bank Transfer"/>
    <x v="0"/>
    <s v="North-Alice"/>
    <x v="9"/>
    <n v="12"/>
    <n v="2023"/>
  </r>
  <r>
    <n v="1041"/>
    <d v="2023-01-08T00:00:00"/>
    <x v="1"/>
    <x v="3"/>
    <n v="1714.05"/>
    <n v="36"/>
    <x v="1"/>
    <n v="864.77"/>
    <n v="1170.1599999999901"/>
    <x v="0"/>
    <n v="0.11"/>
    <s v="Cash"/>
    <x v="1"/>
    <s v="East-David"/>
    <x v="5"/>
    <n v="1"/>
    <n v="2023"/>
  </r>
  <r>
    <n v="1100"/>
    <d v="2023-11-17T00:00:00"/>
    <x v="0"/>
    <x v="3"/>
    <n v="7883.44"/>
    <n v="13"/>
    <x v="1"/>
    <n v="366.2"/>
    <n v="732.69"/>
    <x v="1"/>
    <n v="0.04"/>
    <s v="Cash"/>
    <x v="1"/>
    <s v="East-Bob"/>
    <x v="8"/>
    <n v="11"/>
    <n v="2023"/>
  </r>
  <r>
    <n v="1033"/>
    <d v="2023-11-09T00:00:00"/>
    <x v="1"/>
    <x v="3"/>
    <n v="7370.99"/>
    <n v="6"/>
    <x v="2"/>
    <n v="1621.07"/>
    <n v="1687.5"/>
    <x v="0"/>
    <n v="0.12"/>
    <s v="Credit Card"/>
    <x v="0"/>
    <s v="East-David"/>
    <x v="8"/>
    <n v="11"/>
    <n v="2023"/>
  </r>
  <r>
    <n v="1068"/>
    <d v="2023-09-04T00:00:00"/>
    <x v="3"/>
    <x v="3"/>
    <n v="3905.11"/>
    <n v="14"/>
    <x v="1"/>
    <n v="1140.58"/>
    <n v="1438.76"/>
    <x v="0"/>
    <n v="0.03"/>
    <s v="Bank Transfer"/>
    <x v="0"/>
    <s v="East-Eve"/>
    <x v="2"/>
    <n v="9"/>
    <n v="2023"/>
  </r>
  <r>
    <n v="1033"/>
    <d v="2023-11-19T00:00:00"/>
    <x v="1"/>
    <x v="0"/>
    <n v="349.41"/>
    <n v="37"/>
    <x v="3"/>
    <n v="2600.7600000000002"/>
    <n v="2937.57"/>
    <x v="1"/>
    <n v="0.17"/>
    <s v="Credit Card"/>
    <x v="1"/>
    <s v="North-David"/>
    <x v="8"/>
    <n v="11"/>
    <n v="2023"/>
  </r>
  <r>
    <n v="1014"/>
    <d v="2023-09-12T00:00:00"/>
    <x v="2"/>
    <x v="3"/>
    <n v="8406.07"/>
    <n v="48"/>
    <x v="0"/>
    <n v="556.72"/>
    <n v="665.07"/>
    <x v="0"/>
    <n v="0.01"/>
    <s v="Bank Transfer"/>
    <x v="1"/>
    <s v="East-Charlie"/>
    <x v="2"/>
    <n v="9"/>
    <n v="2023"/>
  </r>
  <r>
    <n v="1021"/>
    <d v="2023-11-24T00:00:00"/>
    <x v="3"/>
    <x v="0"/>
    <n v="213.04"/>
    <n v="15"/>
    <x v="1"/>
    <n v="3771.27"/>
    <n v="4212.55"/>
    <x v="0"/>
    <n v="0.16"/>
    <s v="Credit Card"/>
    <x v="1"/>
    <s v="North-Eve"/>
    <x v="8"/>
    <n v="11"/>
    <n v="2023"/>
  </r>
  <r>
    <n v="1048"/>
    <d v="2023-02-23T00:00:00"/>
    <x v="0"/>
    <x v="1"/>
    <n v="7066.63"/>
    <n v="47"/>
    <x v="1"/>
    <n v="4535.8599999999997"/>
    <n v="4641.41"/>
    <x v="1"/>
    <n v="0.27"/>
    <s v="Credit Card"/>
    <x v="1"/>
    <s v="West-Bob"/>
    <x v="0"/>
    <n v="2"/>
    <n v="2023"/>
  </r>
  <r>
    <n v="1020"/>
    <d v="2023-09-06T00:00:00"/>
    <x v="2"/>
    <x v="3"/>
    <n v="9705.5499999999993"/>
    <n v="4"/>
    <x v="2"/>
    <n v="3730"/>
    <n v="3893.6"/>
    <x v="1"/>
    <n v="0.25"/>
    <s v="Bank Transfer"/>
    <x v="1"/>
    <s v="East-Charlie"/>
    <x v="2"/>
    <n v="9"/>
    <n v="2023"/>
  </r>
  <r>
    <n v="1008"/>
    <d v="2023-08-27T00:00:00"/>
    <x v="1"/>
    <x v="2"/>
    <n v="4432.8500000000004"/>
    <n v="40"/>
    <x v="2"/>
    <n v="2687.49"/>
    <n v="3001.56"/>
    <x v="0"/>
    <n v="0.26"/>
    <s v="Bank Transfer"/>
    <x v="0"/>
    <s v="South-David"/>
    <x v="3"/>
    <n v="8"/>
    <n v="2023"/>
  </r>
  <r>
    <n v="1007"/>
    <d v="2023-08-17T00:00:00"/>
    <x v="3"/>
    <x v="3"/>
    <n v="2426.2399999999998"/>
    <n v="16"/>
    <x v="0"/>
    <n v="4310.3100000000004"/>
    <n v="4633.1000000000004"/>
    <x v="1"/>
    <n v="0.28000000000000003"/>
    <s v="Credit Card"/>
    <x v="1"/>
    <s v="East-Eve"/>
    <x v="3"/>
    <n v="8"/>
    <n v="2023"/>
  </r>
  <r>
    <n v="1067"/>
    <d v="2023-03-08T00:00:00"/>
    <x v="0"/>
    <x v="3"/>
    <n v="7078.22"/>
    <n v="28"/>
    <x v="3"/>
    <n v="3489.85"/>
    <n v="3842.5499999999902"/>
    <x v="1"/>
    <n v="0.03"/>
    <s v="Bank Transfer"/>
    <x v="0"/>
    <s v="East-Bob"/>
    <x v="4"/>
    <n v="3"/>
    <n v="2023"/>
  </r>
  <r>
    <n v="1017"/>
    <d v="2023-02-20T00:00:00"/>
    <x v="2"/>
    <x v="0"/>
    <n v="8189.57"/>
    <n v="16"/>
    <x v="0"/>
    <n v="102.23"/>
    <n v="167.12"/>
    <x v="1"/>
    <n v="0.04"/>
    <s v="Credit Card"/>
    <x v="1"/>
    <s v="North-Charlie"/>
    <x v="0"/>
    <n v="2"/>
    <n v="2023"/>
  </r>
  <r>
    <n v="1033"/>
    <d v="2023-04-07T00:00:00"/>
    <x v="0"/>
    <x v="3"/>
    <n v="5509.66"/>
    <n v="4"/>
    <x v="1"/>
    <n v="2000.75"/>
    <n v="2426.9899999999998"/>
    <x v="0"/>
    <n v="0.17"/>
    <s v="Bank Transfer"/>
    <x v="0"/>
    <s v="East-Bob"/>
    <x v="1"/>
    <n v="4"/>
    <n v="2023"/>
  </r>
  <r>
    <n v="1048"/>
    <d v="2023-04-02T00:00:00"/>
    <x v="1"/>
    <x v="2"/>
    <n v="9673.65"/>
    <n v="45"/>
    <x v="3"/>
    <n v="4262.21"/>
    <n v="4533.3100000000004"/>
    <x v="0"/>
    <n v="0.27"/>
    <s v="Credit Card"/>
    <x v="0"/>
    <s v="South-David"/>
    <x v="1"/>
    <n v="4"/>
    <n v="2023"/>
  </r>
  <r>
    <n v="1076"/>
    <d v="2023-09-21T00:00:00"/>
    <x v="0"/>
    <x v="0"/>
    <n v="611.52"/>
    <n v="26"/>
    <x v="3"/>
    <n v="1762"/>
    <n v="2002.95"/>
    <x v="0"/>
    <n v="0.28999999999999998"/>
    <s v="Credit Card"/>
    <x v="1"/>
    <s v="North-Bob"/>
    <x v="2"/>
    <n v="9"/>
    <n v="2023"/>
  </r>
  <r>
    <n v="1059"/>
    <d v="2023-10-18T00:00:00"/>
    <x v="4"/>
    <x v="0"/>
    <n v="5097.4799999999996"/>
    <n v="28"/>
    <x v="3"/>
    <n v="224.32"/>
    <n v="715.06"/>
    <x v="0"/>
    <n v="0.01"/>
    <s v="Credit Card"/>
    <x v="0"/>
    <s v="North-Alice"/>
    <x v="7"/>
    <n v="10"/>
    <n v="2023"/>
  </r>
  <r>
    <n v="1086"/>
    <d v="2023-04-06T00:00:00"/>
    <x v="2"/>
    <x v="1"/>
    <n v="7212.69"/>
    <n v="32"/>
    <x v="3"/>
    <n v="3743.59"/>
    <n v="4116.38"/>
    <x v="0"/>
    <n v="0.11"/>
    <s v="Cash"/>
    <x v="0"/>
    <s v="West-Charlie"/>
    <x v="1"/>
    <n v="4"/>
    <n v="2023"/>
  </r>
  <r>
    <n v="1022"/>
    <d v="2023-03-29T00:00:00"/>
    <x v="0"/>
    <x v="1"/>
    <n v="8640.14"/>
    <n v="45"/>
    <x v="0"/>
    <n v="4020.09"/>
    <n v="4087.91"/>
    <x v="0"/>
    <n v="0.06"/>
    <s v="Bank Transfer"/>
    <x v="0"/>
    <s v="West-Bob"/>
    <x v="4"/>
    <n v="3"/>
    <n v="2023"/>
  </r>
  <r>
    <n v="1030"/>
    <d v="2023-03-19T00:00:00"/>
    <x v="1"/>
    <x v="3"/>
    <n v="1874.63"/>
    <n v="2"/>
    <x v="2"/>
    <n v="844.94"/>
    <n v="1225.6400000000001"/>
    <x v="0"/>
    <n v="0.23"/>
    <s v="Credit Card"/>
    <x v="0"/>
    <s v="East-David"/>
    <x v="4"/>
    <n v="3"/>
    <n v="2023"/>
  </r>
  <r>
    <n v="1038"/>
    <d v="2023-10-15T00:00:00"/>
    <x v="1"/>
    <x v="1"/>
    <n v="8020.03"/>
    <n v="31"/>
    <x v="2"/>
    <n v="2709.84"/>
    <n v="2766.51"/>
    <x v="1"/>
    <n v="0.19"/>
    <s v="Cash"/>
    <x v="1"/>
    <s v="West-David"/>
    <x v="7"/>
    <n v="10"/>
    <n v="2023"/>
  </r>
  <r>
    <n v="1051"/>
    <d v="2023-04-30T00:00:00"/>
    <x v="0"/>
    <x v="1"/>
    <n v="5571.8"/>
    <n v="3"/>
    <x v="1"/>
    <n v="1000.18"/>
    <n v="1023.64"/>
    <x v="0"/>
    <n v="0.04"/>
    <s v="Credit Card"/>
    <x v="0"/>
    <s v="West-Bob"/>
    <x v="1"/>
    <n v="4"/>
    <n v="2023"/>
  </r>
  <r>
    <n v="1054"/>
    <d v="2023-10-29T00:00:00"/>
    <x v="1"/>
    <x v="1"/>
    <n v="4025.88"/>
    <n v="8"/>
    <x v="2"/>
    <n v="3610.21"/>
    <n v="3817.99"/>
    <x v="0"/>
    <n v="0.15"/>
    <s v="Cash"/>
    <x v="1"/>
    <s v="West-David"/>
    <x v="7"/>
    <n v="10"/>
    <n v="2023"/>
  </r>
  <r>
    <n v="1008"/>
    <d v="2023-06-14T00:00:00"/>
    <x v="3"/>
    <x v="0"/>
    <n v="1403.98"/>
    <n v="24"/>
    <x v="2"/>
    <n v="1394.17"/>
    <n v="1891.02"/>
    <x v="1"/>
    <n v="0.21"/>
    <s v="Credit Card"/>
    <x v="0"/>
    <s v="North-Eve"/>
    <x v="6"/>
    <n v="6"/>
    <n v="2023"/>
  </r>
  <r>
    <n v="1027"/>
    <d v="2023-07-01T00:00:00"/>
    <x v="3"/>
    <x v="0"/>
    <n v="8666.43"/>
    <n v="15"/>
    <x v="2"/>
    <n v="1615.26"/>
    <n v="1710.95"/>
    <x v="1"/>
    <n v="0.23"/>
    <s v="Credit Card"/>
    <x v="1"/>
    <s v="North-Eve"/>
    <x v="11"/>
    <n v="7"/>
    <n v="2023"/>
  </r>
  <r>
    <n v="1027"/>
    <d v="2023-08-11T00:00:00"/>
    <x v="3"/>
    <x v="0"/>
    <n v="1657"/>
    <n v="43"/>
    <x v="2"/>
    <n v="4232.6099999999997"/>
    <n v="4572.21"/>
    <x v="1"/>
    <n v="0.01"/>
    <s v="Cash"/>
    <x v="1"/>
    <s v="North-Eve"/>
    <x v="3"/>
    <n v="8"/>
    <n v="2023"/>
  </r>
  <r>
    <n v="1098"/>
    <d v="2023-11-07T00:00:00"/>
    <x v="4"/>
    <x v="1"/>
    <n v="3166.9"/>
    <n v="31"/>
    <x v="1"/>
    <n v="2407.8000000000002"/>
    <n v="2502.7600000000002"/>
    <x v="0"/>
    <n v="0.27"/>
    <s v="Cash"/>
    <x v="1"/>
    <s v="West-Alice"/>
    <x v="8"/>
    <n v="11"/>
    <n v="2023"/>
  </r>
  <r>
    <n v="1021"/>
    <d v="2023-01-07T00:00:00"/>
    <x v="0"/>
    <x v="0"/>
    <n v="2971.45"/>
    <n v="9"/>
    <x v="0"/>
    <n v="3365.28"/>
    <n v="3730.43"/>
    <x v="1"/>
    <n v="0.17"/>
    <s v="Bank Transfer"/>
    <x v="0"/>
    <s v="North-Bob"/>
    <x v="5"/>
    <n v="1"/>
    <n v="2023"/>
  </r>
  <r>
    <n v="1030"/>
    <d v="2023-11-26T00:00:00"/>
    <x v="4"/>
    <x v="1"/>
    <n v="8727"/>
    <n v="39"/>
    <x v="3"/>
    <n v="2041.75"/>
    <n v="2299.37"/>
    <x v="0"/>
    <n v="0.24"/>
    <s v="Bank Transfer"/>
    <x v="1"/>
    <s v="West-Alice"/>
    <x v="8"/>
    <n v="11"/>
    <n v="2023"/>
  </r>
  <r>
    <n v="1097"/>
    <d v="2023-09-20T00:00:00"/>
    <x v="1"/>
    <x v="0"/>
    <n v="6759.76"/>
    <n v="45"/>
    <x v="2"/>
    <n v="1525.13"/>
    <n v="1868.32"/>
    <x v="0"/>
    <n v="0.24"/>
    <s v="Cash"/>
    <x v="1"/>
    <s v="North-David"/>
    <x v="2"/>
    <n v="9"/>
    <n v="2023"/>
  </r>
  <r>
    <n v="1028"/>
    <d v="2023-06-10T00:00:00"/>
    <x v="4"/>
    <x v="0"/>
    <n v="7987.15"/>
    <n v="2"/>
    <x v="0"/>
    <n v="3146.12"/>
    <n v="3255.5299999999902"/>
    <x v="0"/>
    <n v="0.06"/>
    <s v="Bank Transfer"/>
    <x v="0"/>
    <s v="North-Alice"/>
    <x v="6"/>
    <n v="6"/>
    <n v="2023"/>
  </r>
  <r>
    <n v="1064"/>
    <d v="2023-05-31T00:00:00"/>
    <x v="1"/>
    <x v="2"/>
    <n v="2579.63"/>
    <n v="8"/>
    <x v="2"/>
    <n v="816.54"/>
    <n v="1191.9000000000001"/>
    <x v="1"/>
    <n v="0.03"/>
    <s v="Cash"/>
    <x v="1"/>
    <s v="South-David"/>
    <x v="10"/>
    <n v="5"/>
    <n v="2023"/>
  </r>
  <r>
    <n v="1097"/>
    <d v="2023-03-26T00:00:00"/>
    <x v="1"/>
    <x v="3"/>
    <n v="6286.25"/>
    <n v="7"/>
    <x v="2"/>
    <n v="1896.35"/>
    <n v="2394.1999999999998"/>
    <x v="1"/>
    <n v="0.22"/>
    <s v="Bank Transfer"/>
    <x v="0"/>
    <s v="East-David"/>
    <x v="4"/>
    <n v="3"/>
    <n v="2023"/>
  </r>
  <r>
    <n v="1069"/>
    <d v="2023-05-27T00:00:00"/>
    <x v="2"/>
    <x v="1"/>
    <n v="5760.29"/>
    <n v="44"/>
    <x v="3"/>
    <n v="1084.73"/>
    <n v="1420.9"/>
    <x v="0"/>
    <n v="0.05"/>
    <s v="Credit Card"/>
    <x v="0"/>
    <s v="West-Charlie"/>
    <x v="10"/>
    <n v="5"/>
    <n v="2023"/>
  </r>
  <r>
    <n v="1061"/>
    <d v="2023-04-22T00:00:00"/>
    <x v="3"/>
    <x v="2"/>
    <n v="8345.02"/>
    <n v="39"/>
    <x v="3"/>
    <n v="3494.19"/>
    <n v="3746"/>
    <x v="0"/>
    <n v="0.25"/>
    <s v="Bank Transfer"/>
    <x v="1"/>
    <s v="South-Eve"/>
    <x v="1"/>
    <n v="4"/>
    <n v="2023"/>
  </r>
  <r>
    <n v="1048"/>
    <d v="2023-02-05T00:00:00"/>
    <x v="1"/>
    <x v="0"/>
    <n v="9070.26"/>
    <n v="42"/>
    <x v="3"/>
    <n v="4723.83"/>
    <n v="5186.1899999999996"/>
    <x v="0"/>
    <n v="0.22"/>
    <s v="Credit Card"/>
    <x v="0"/>
    <s v="North-David"/>
    <x v="0"/>
    <n v="2"/>
    <n v="2023"/>
  </r>
  <r>
    <n v="1019"/>
    <d v="2023-10-12T00:00:00"/>
    <x v="2"/>
    <x v="1"/>
    <n v="220.35"/>
    <n v="16"/>
    <x v="2"/>
    <n v="4977.78"/>
    <n v="4995.55"/>
    <x v="1"/>
    <n v="0.25"/>
    <s v="Credit Card"/>
    <x v="0"/>
    <s v="West-Charlie"/>
    <x v="7"/>
    <n v="10"/>
    <n v="2023"/>
  </r>
  <r>
    <n v="1004"/>
    <d v="2023-07-07T00:00:00"/>
    <x v="3"/>
    <x v="0"/>
    <n v="6772.8"/>
    <n v="35"/>
    <x v="2"/>
    <n v="2278.87"/>
    <n v="2646.5299999999902"/>
    <x v="0"/>
    <n v="0.09"/>
    <s v="Bank Transfer"/>
    <x v="0"/>
    <s v="North-Eve"/>
    <x v="11"/>
    <n v="7"/>
    <n v="2023"/>
  </r>
  <r>
    <n v="1035"/>
    <d v="2023-03-23T00:00:00"/>
    <x v="1"/>
    <x v="3"/>
    <n v="613.16999999999996"/>
    <n v="30"/>
    <x v="2"/>
    <n v="1300.03"/>
    <n v="1745.52"/>
    <x v="1"/>
    <n v="0.09"/>
    <s v="Cash"/>
    <x v="1"/>
    <s v="East-David"/>
    <x v="4"/>
    <n v="3"/>
    <n v="2023"/>
  </r>
  <r>
    <n v="1064"/>
    <d v="2023-01-02T00:00:00"/>
    <x v="1"/>
    <x v="2"/>
    <n v="5533.7"/>
    <n v="10"/>
    <x v="3"/>
    <n v="2242.0100000000002"/>
    <n v="2282.23"/>
    <x v="0"/>
    <n v="0.2"/>
    <s v="Credit Card"/>
    <x v="0"/>
    <s v="South-David"/>
    <x v="5"/>
    <n v="1"/>
    <n v="2023"/>
  </r>
  <r>
    <n v="1049"/>
    <d v="2023-10-30T00:00:00"/>
    <x v="4"/>
    <x v="3"/>
    <n v="2947.56"/>
    <n v="38"/>
    <x v="1"/>
    <n v="4243.9799999999996"/>
    <n v="4474.5099999999902"/>
    <x v="1"/>
    <n v="0.01"/>
    <s v="Credit Card"/>
    <x v="0"/>
    <s v="East-Alice"/>
    <x v="7"/>
    <n v="10"/>
    <n v="2023"/>
  </r>
  <r>
    <n v="1017"/>
    <d v="2023-07-16T00:00:00"/>
    <x v="4"/>
    <x v="2"/>
    <n v="3137.09"/>
    <n v="18"/>
    <x v="0"/>
    <n v="1069.73"/>
    <n v="1180.04"/>
    <x v="0"/>
    <n v="0.22"/>
    <s v="Bank Transfer"/>
    <x v="0"/>
    <s v="South-Alice"/>
    <x v="11"/>
    <n v="7"/>
    <n v="2023"/>
  </r>
  <r>
    <n v="1044"/>
    <d v="2023-01-11T00:00:00"/>
    <x v="3"/>
    <x v="0"/>
    <n v="3594.29"/>
    <n v="5"/>
    <x v="1"/>
    <n v="4762.87"/>
    <n v="5050.46"/>
    <x v="1"/>
    <n v="0.25"/>
    <s v="Cash"/>
    <x v="1"/>
    <s v="North-Eve"/>
    <x v="5"/>
    <n v="1"/>
    <n v="2023"/>
  </r>
  <r>
    <n v="1092"/>
    <d v="2023-08-22T00:00:00"/>
    <x v="1"/>
    <x v="3"/>
    <n v="6250.8"/>
    <n v="29"/>
    <x v="2"/>
    <n v="1742.24"/>
    <n v="2070.52"/>
    <x v="1"/>
    <n v="0.12"/>
    <s v="Cash"/>
    <x v="0"/>
    <s v="East-David"/>
    <x v="3"/>
    <n v="8"/>
    <n v="2023"/>
  </r>
  <r>
    <n v="1030"/>
    <d v="2023-07-14T00:00:00"/>
    <x v="0"/>
    <x v="3"/>
    <n v="3407.09"/>
    <n v="39"/>
    <x v="2"/>
    <n v="4929.7299999999996"/>
    <n v="5088.0199999999904"/>
    <x v="1"/>
    <n v="0.23"/>
    <s v="Bank Transfer"/>
    <x v="1"/>
    <s v="East-Bob"/>
    <x v="11"/>
    <n v="7"/>
    <n v="2023"/>
  </r>
  <r>
    <n v="1093"/>
    <d v="2023-04-29T00:00:00"/>
    <x v="4"/>
    <x v="0"/>
    <n v="7353.72"/>
    <n v="34"/>
    <x v="1"/>
    <n v="4201.1099999999997"/>
    <n v="4436.5"/>
    <x v="1"/>
    <n v="0.05"/>
    <s v="Cash"/>
    <x v="0"/>
    <s v="North-Alice"/>
    <x v="1"/>
    <n v="4"/>
    <n v="2023"/>
  </r>
  <r>
    <n v="1046"/>
    <d v="2023-01-20T00:00:00"/>
    <x v="3"/>
    <x v="3"/>
    <n v="4104.82"/>
    <n v="43"/>
    <x v="2"/>
    <n v="4052.42"/>
    <n v="4199.3"/>
    <x v="1"/>
    <n v="0.1"/>
    <s v="Bank Transfer"/>
    <x v="1"/>
    <s v="East-Eve"/>
    <x v="5"/>
    <n v="1"/>
    <n v="2023"/>
  </r>
  <r>
    <n v="1006"/>
    <d v="2023-09-18T00:00:00"/>
    <x v="1"/>
    <x v="1"/>
    <n v="776.7"/>
    <n v="45"/>
    <x v="0"/>
    <n v="1623.63"/>
    <n v="1814.63"/>
    <x v="1"/>
    <n v="0.28999999999999998"/>
    <s v="Bank Transfer"/>
    <x v="1"/>
    <s v="West-David"/>
    <x v="2"/>
    <n v="9"/>
    <n v="2023"/>
  </r>
  <r>
    <n v="1099"/>
    <d v="2023-10-20T00:00:00"/>
    <x v="1"/>
    <x v="2"/>
    <n v="7859.22"/>
    <n v="23"/>
    <x v="2"/>
    <n v="93.45"/>
    <n v="181.62"/>
    <x v="0"/>
    <n v="0.3"/>
    <s v="Bank Transfer"/>
    <x v="1"/>
    <s v="South-David"/>
    <x v="7"/>
    <n v="10"/>
    <n v="2023"/>
  </r>
  <r>
    <n v="1037"/>
    <d v="2023-09-13T00:00:00"/>
    <x v="0"/>
    <x v="2"/>
    <n v="2929.01"/>
    <n v="5"/>
    <x v="0"/>
    <n v="1941.56"/>
    <n v="2385.48"/>
    <x v="0"/>
    <n v="0.15"/>
    <s v="Credit Card"/>
    <x v="0"/>
    <s v="South-Bob"/>
    <x v="2"/>
    <n v="9"/>
    <n v="2023"/>
  </r>
  <r>
    <n v="1024"/>
    <d v="2023-08-10T00:00:00"/>
    <x v="3"/>
    <x v="2"/>
    <n v="4384.3900000000003"/>
    <n v="30"/>
    <x v="1"/>
    <n v="1543.96"/>
    <n v="1558.87"/>
    <x v="0"/>
    <n v="0.28000000000000003"/>
    <s v="Credit Card"/>
    <x v="0"/>
    <s v="South-Eve"/>
    <x v="3"/>
    <n v="8"/>
    <n v="2023"/>
  </r>
  <r>
    <n v="1093"/>
    <d v="2023-08-14T00:00:00"/>
    <x v="1"/>
    <x v="1"/>
    <n v="6885.89"/>
    <n v="6"/>
    <x v="1"/>
    <n v="235.12"/>
    <n v="677.5"/>
    <x v="0"/>
    <n v="0.16"/>
    <s v="Credit Card"/>
    <x v="0"/>
    <s v="West-David"/>
    <x v="3"/>
    <n v="8"/>
    <n v="2023"/>
  </r>
  <r>
    <n v="1046"/>
    <d v="2023-02-22T00:00:00"/>
    <x v="4"/>
    <x v="2"/>
    <n v="3391.32"/>
    <n v="46"/>
    <x v="2"/>
    <n v="2551.56"/>
    <n v="2841.68"/>
    <x v="1"/>
    <n v="0.09"/>
    <s v="Bank Transfer"/>
    <x v="1"/>
    <s v="South-Alice"/>
    <x v="0"/>
    <n v="2"/>
    <n v="2023"/>
  </r>
  <r>
    <n v="1053"/>
    <d v="2023-12-21T00:00:00"/>
    <x v="0"/>
    <x v="0"/>
    <n v="660.2"/>
    <n v="44"/>
    <x v="0"/>
    <n v="2045"/>
    <n v="2217.5100000000002"/>
    <x v="0"/>
    <n v="0.08"/>
    <s v="Credit Card"/>
    <x v="0"/>
    <s v="North-Bob"/>
    <x v="9"/>
    <n v="12"/>
    <n v="2023"/>
  </r>
  <r>
    <n v="1095"/>
    <d v="2023-12-08T00:00:00"/>
    <x v="3"/>
    <x v="3"/>
    <n v="3801.82"/>
    <n v="4"/>
    <x v="2"/>
    <n v="3191.05"/>
    <n v="3555.35"/>
    <x v="1"/>
    <n v="0.28000000000000003"/>
    <s v="Credit Card"/>
    <x v="0"/>
    <s v="East-Eve"/>
    <x v="9"/>
    <n v="12"/>
    <n v="2023"/>
  </r>
  <r>
    <n v="1099"/>
    <d v="2023-12-30T00:00:00"/>
    <x v="0"/>
    <x v="1"/>
    <n v="9450.0400000000009"/>
    <n v="29"/>
    <x v="3"/>
    <n v="3124.87"/>
    <n v="3383.67"/>
    <x v="1"/>
    <n v="0.05"/>
    <s v="Credit Card"/>
    <x v="1"/>
    <s v="West-Bob"/>
    <x v="9"/>
    <n v="12"/>
    <n v="2023"/>
  </r>
  <r>
    <n v="1060"/>
    <d v="2023-10-07T00:00:00"/>
    <x v="4"/>
    <x v="2"/>
    <n v="6453.17"/>
    <n v="23"/>
    <x v="3"/>
    <n v="647.70000000000005"/>
    <n v="902.26"/>
    <x v="1"/>
    <n v="0.17"/>
    <s v="Bank Transfer"/>
    <x v="0"/>
    <s v="South-Alice"/>
    <x v="7"/>
    <n v="10"/>
    <n v="2023"/>
  </r>
  <r>
    <n v="1097"/>
    <d v="2023-03-22T00:00:00"/>
    <x v="3"/>
    <x v="0"/>
    <n v="6747.64"/>
    <n v="6"/>
    <x v="3"/>
    <n v="4885.9799999999996"/>
    <n v="4949.95"/>
    <x v="0"/>
    <n v="0.17"/>
    <s v="Bank Transfer"/>
    <x v="0"/>
    <s v="North-Eve"/>
    <x v="4"/>
    <n v="3"/>
    <n v="2023"/>
  </r>
  <r>
    <n v="1063"/>
    <d v="2023-07-21T00:00:00"/>
    <x v="0"/>
    <x v="3"/>
    <n v="6359.59"/>
    <n v="32"/>
    <x v="3"/>
    <n v="975.31"/>
    <n v="1176.17"/>
    <x v="1"/>
    <n v="0.22"/>
    <s v="Bank Transfer"/>
    <x v="1"/>
    <s v="East-Bob"/>
    <x v="11"/>
    <n v="7"/>
    <n v="2023"/>
  </r>
  <r>
    <n v="1085"/>
    <d v="2023-06-07T00:00:00"/>
    <x v="2"/>
    <x v="3"/>
    <n v="2070.02"/>
    <n v="42"/>
    <x v="2"/>
    <n v="2254.11"/>
    <n v="2382.23"/>
    <x v="0"/>
    <n v="0.15"/>
    <s v="Credit Card"/>
    <x v="1"/>
    <s v="East-Charlie"/>
    <x v="6"/>
    <n v="6"/>
    <n v="2023"/>
  </r>
  <r>
    <n v="1032"/>
    <d v="2023-04-30T00:00:00"/>
    <x v="4"/>
    <x v="1"/>
    <n v="4241.51"/>
    <n v="18"/>
    <x v="3"/>
    <n v="2466.1799999999998"/>
    <n v="2483.87"/>
    <x v="0"/>
    <n v="0.08"/>
    <s v="Cash"/>
    <x v="0"/>
    <s v="West-Alice"/>
    <x v="1"/>
    <n v="4"/>
    <n v="2023"/>
  </r>
  <r>
    <n v="1087"/>
    <d v="2023-02-28T00:00:00"/>
    <x v="4"/>
    <x v="1"/>
    <n v="7534.3"/>
    <n v="15"/>
    <x v="0"/>
    <n v="4074.66"/>
    <n v="4261.1099999999997"/>
    <x v="0"/>
    <n v="0.05"/>
    <s v="Credit Card"/>
    <x v="1"/>
    <s v="West-Alice"/>
    <x v="0"/>
    <n v="2"/>
    <n v="2023"/>
  </r>
  <r>
    <n v="1033"/>
    <d v="2023-08-03T00:00:00"/>
    <x v="4"/>
    <x v="1"/>
    <n v="1103.5899999999999"/>
    <n v="40"/>
    <x v="1"/>
    <n v="541.19000000000005"/>
    <n v="595.20000000000005"/>
    <x v="0"/>
    <n v="0.19"/>
    <s v="Credit Card"/>
    <x v="0"/>
    <s v="West-Alice"/>
    <x v="3"/>
    <n v="8"/>
    <n v="2023"/>
  </r>
  <r>
    <n v="1067"/>
    <d v="2023-05-08T00:00:00"/>
    <x v="2"/>
    <x v="0"/>
    <n v="2850.74"/>
    <n v="32"/>
    <x v="1"/>
    <n v="2171.79"/>
    <n v="2307.64"/>
    <x v="0"/>
    <n v="0.22"/>
    <s v="Bank Transfer"/>
    <x v="0"/>
    <s v="North-Charlie"/>
    <x v="10"/>
    <n v="5"/>
    <n v="2023"/>
  </r>
  <r>
    <n v="1018"/>
    <d v="2023-08-12T00:00:00"/>
    <x v="2"/>
    <x v="0"/>
    <n v="2835.56"/>
    <n v="9"/>
    <x v="3"/>
    <n v="3161.09"/>
    <n v="3216.42"/>
    <x v="1"/>
    <n v="0.17"/>
    <s v="Bank Transfer"/>
    <x v="0"/>
    <s v="North-Charlie"/>
    <x v="3"/>
    <n v="8"/>
    <n v="2023"/>
  </r>
  <r>
    <n v="1025"/>
    <d v="2023-07-28T00:00:00"/>
    <x v="1"/>
    <x v="1"/>
    <n v="4376.99"/>
    <n v="37"/>
    <x v="3"/>
    <n v="1115.02"/>
    <n v="1174.48"/>
    <x v="1"/>
    <n v="0.22"/>
    <s v="Credit Card"/>
    <x v="0"/>
    <s v="West-David"/>
    <x v="11"/>
    <n v="7"/>
    <n v="2023"/>
  </r>
  <r>
    <n v="1095"/>
    <d v="2023-04-25T00:00:00"/>
    <x v="0"/>
    <x v="2"/>
    <n v="9805.65"/>
    <n v="10"/>
    <x v="3"/>
    <n v="3155.97"/>
    <n v="3263.49"/>
    <x v="0"/>
    <n v="0.04"/>
    <s v="Credit Card"/>
    <x v="0"/>
    <s v="South-Bob"/>
    <x v="1"/>
    <n v="4"/>
    <n v="2023"/>
  </r>
  <r>
    <n v="1054"/>
    <d v="2023-07-28T00:00:00"/>
    <x v="1"/>
    <x v="3"/>
    <n v="768.28"/>
    <n v="20"/>
    <x v="2"/>
    <n v="4622.1400000000003"/>
    <n v="5122.07"/>
    <x v="1"/>
    <n v="0.26"/>
    <s v="Cash"/>
    <x v="1"/>
    <s v="East-David"/>
    <x v="11"/>
    <n v="7"/>
    <n v="2023"/>
  </r>
  <r>
    <n v="1058"/>
    <d v="2023-01-14T00:00:00"/>
    <x v="0"/>
    <x v="3"/>
    <n v="5235.1400000000003"/>
    <n v="6"/>
    <x v="1"/>
    <n v="4987.71"/>
    <n v="4998.78"/>
    <x v="0"/>
    <n v="0.17"/>
    <s v="Cash"/>
    <x v="1"/>
    <s v="East-Bob"/>
    <x v="5"/>
    <n v="1"/>
    <n v="2023"/>
  </r>
  <r>
    <n v="1067"/>
    <d v="2023-01-09T00:00:00"/>
    <x v="2"/>
    <x v="0"/>
    <n v="1875.71"/>
    <n v="48"/>
    <x v="3"/>
    <n v="210.63"/>
    <n v="533.57999999999902"/>
    <x v="1"/>
    <n v="0.04"/>
    <s v="Bank Transfer"/>
    <x v="0"/>
    <s v="North-Charlie"/>
    <x v="5"/>
    <n v="1"/>
    <n v="2023"/>
  </r>
  <r>
    <n v="1046"/>
    <d v="2023-02-09T00:00:00"/>
    <x v="2"/>
    <x v="3"/>
    <n v="9709.7000000000007"/>
    <n v="3"/>
    <x v="0"/>
    <n v="1216.1600000000001"/>
    <n v="1295.3699999999999"/>
    <x v="1"/>
    <n v="0.14000000000000001"/>
    <s v="Cash"/>
    <x v="1"/>
    <s v="East-Charlie"/>
    <x v="0"/>
    <n v="2"/>
    <n v="2023"/>
  </r>
  <r>
    <n v="1024"/>
    <d v="2023-08-25T00:00:00"/>
    <x v="1"/>
    <x v="2"/>
    <n v="1221.7"/>
    <n v="42"/>
    <x v="3"/>
    <n v="1586.02"/>
    <n v="2047.13"/>
    <x v="1"/>
    <n v="0.25"/>
    <s v="Cash"/>
    <x v="1"/>
    <s v="South-David"/>
    <x v="3"/>
    <n v="8"/>
    <n v="2023"/>
  </r>
  <r>
    <n v="1032"/>
    <d v="2023-10-08T00:00:00"/>
    <x v="3"/>
    <x v="3"/>
    <n v="4095.65"/>
    <n v="11"/>
    <x v="1"/>
    <n v="2025.67"/>
    <n v="2081.5500000000002"/>
    <x v="1"/>
    <n v="0.27"/>
    <s v="Bank Transfer"/>
    <x v="0"/>
    <s v="East-Eve"/>
    <x v="7"/>
    <n v="10"/>
    <n v="2023"/>
  </r>
  <r>
    <n v="1047"/>
    <d v="2023-12-25T00:00:00"/>
    <x v="1"/>
    <x v="0"/>
    <n v="7405.06"/>
    <n v="43"/>
    <x v="3"/>
    <n v="1249.17"/>
    <n v="1727.15"/>
    <x v="1"/>
    <n v="0.08"/>
    <s v="Cash"/>
    <x v="1"/>
    <s v="North-David"/>
    <x v="9"/>
    <n v="12"/>
    <n v="2023"/>
  </r>
  <r>
    <n v="1086"/>
    <d v="2023-07-20T00:00:00"/>
    <x v="0"/>
    <x v="0"/>
    <n v="7075.09"/>
    <n v="17"/>
    <x v="1"/>
    <n v="1057.27"/>
    <n v="1366.62"/>
    <x v="1"/>
    <n v="0.21"/>
    <s v="Credit Card"/>
    <x v="1"/>
    <s v="North-Bob"/>
    <x v="11"/>
    <n v="7"/>
    <n v="2023"/>
  </r>
  <r>
    <n v="1023"/>
    <d v="2023-09-03T00:00:00"/>
    <x v="1"/>
    <x v="2"/>
    <n v="4285.01"/>
    <n v="32"/>
    <x v="3"/>
    <n v="4775.04"/>
    <n v="4785.66"/>
    <x v="1"/>
    <n v="0.03"/>
    <s v="Cash"/>
    <x v="0"/>
    <s v="South-David"/>
    <x v="2"/>
    <n v="9"/>
    <n v="2023"/>
  </r>
  <r>
    <n v="1066"/>
    <d v="2023-10-05T00:00:00"/>
    <x v="4"/>
    <x v="2"/>
    <n v="3530.59"/>
    <n v="4"/>
    <x v="0"/>
    <n v="4596.68"/>
    <n v="5044.74"/>
    <x v="1"/>
    <n v="0.01"/>
    <s v="Bank Transfer"/>
    <x v="0"/>
    <s v="South-Alice"/>
    <x v="7"/>
    <n v="10"/>
    <n v="2023"/>
  </r>
  <r>
    <n v="1027"/>
    <d v="2023-08-23T00:00:00"/>
    <x v="0"/>
    <x v="3"/>
    <n v="4036.36"/>
    <n v="4"/>
    <x v="3"/>
    <n v="282.61"/>
    <n v="548.25"/>
    <x v="1"/>
    <n v="0.17"/>
    <s v="Credit Card"/>
    <x v="0"/>
    <s v="East-Bob"/>
    <x v="3"/>
    <n v="8"/>
    <n v="2023"/>
  </r>
  <r>
    <n v="1002"/>
    <d v="2023-01-04T00:00:00"/>
    <x v="0"/>
    <x v="3"/>
    <n v="2716.34"/>
    <n v="17"/>
    <x v="0"/>
    <n v="1727.12"/>
    <n v="1865.83"/>
    <x v="1"/>
    <n v="0.21"/>
    <s v="Cash"/>
    <x v="0"/>
    <s v="East-Bob"/>
    <x v="5"/>
    <n v="1"/>
    <n v="2023"/>
  </r>
  <r>
    <n v="1090"/>
    <d v="2023-06-03T00:00:00"/>
    <x v="3"/>
    <x v="0"/>
    <n v="2132.8000000000002"/>
    <n v="41"/>
    <x v="0"/>
    <n v="2055.4899999999998"/>
    <n v="2441.46"/>
    <x v="1"/>
    <n v="0.24"/>
    <s v="Credit Card"/>
    <x v="0"/>
    <s v="North-Eve"/>
    <x v="6"/>
    <n v="6"/>
    <n v="2023"/>
  </r>
  <r>
    <n v="1017"/>
    <d v="2023-01-29T00:00:00"/>
    <x v="2"/>
    <x v="2"/>
    <n v="4882.09"/>
    <n v="19"/>
    <x v="3"/>
    <n v="1233.1199999999999"/>
    <n v="1697.1899999999901"/>
    <x v="1"/>
    <n v="0.1"/>
    <s v="Credit Card"/>
    <x v="0"/>
    <s v="South-Charlie"/>
    <x v="5"/>
    <n v="1"/>
    <n v="2023"/>
  </r>
  <r>
    <n v="1033"/>
    <d v="2023-04-19T00:00:00"/>
    <x v="0"/>
    <x v="2"/>
    <n v="2758.48"/>
    <n v="5"/>
    <x v="0"/>
    <n v="3162.92"/>
    <n v="3409.93"/>
    <x v="1"/>
    <n v="0"/>
    <s v="Cash"/>
    <x v="0"/>
    <s v="South-Bob"/>
    <x v="1"/>
    <n v="4"/>
    <n v="2023"/>
  </r>
  <r>
    <n v="1009"/>
    <d v="2023-04-08T00:00:00"/>
    <x v="2"/>
    <x v="2"/>
    <n v="2945.87"/>
    <n v="32"/>
    <x v="2"/>
    <n v="3219.88"/>
    <n v="3384.5"/>
    <x v="0"/>
    <n v="0.14000000000000001"/>
    <s v="Cash"/>
    <x v="1"/>
    <s v="South-Charlie"/>
    <x v="1"/>
    <n v="4"/>
    <n v="2023"/>
  </r>
  <r>
    <n v="1043"/>
    <d v="2023-08-03T00:00:00"/>
    <x v="1"/>
    <x v="3"/>
    <n v="6601.89"/>
    <n v="22"/>
    <x v="3"/>
    <n v="4260"/>
    <n v="4656.58"/>
    <x v="1"/>
    <n v="0"/>
    <s v="Bank Transfer"/>
    <x v="0"/>
    <s v="East-David"/>
    <x v="3"/>
    <n v="8"/>
    <n v="2023"/>
  </r>
  <r>
    <n v="1048"/>
    <d v="2023-10-20T00:00:00"/>
    <x v="4"/>
    <x v="2"/>
    <n v="9688.52"/>
    <n v="6"/>
    <x v="3"/>
    <n v="3717.3"/>
    <n v="4061.37"/>
    <x v="1"/>
    <n v="0.03"/>
    <s v="Bank Transfer"/>
    <x v="1"/>
    <s v="South-Alice"/>
    <x v="7"/>
    <n v="10"/>
    <n v="2023"/>
  </r>
  <r>
    <n v="1039"/>
    <d v="2023-03-16T00:00:00"/>
    <x v="3"/>
    <x v="0"/>
    <n v="6076.01"/>
    <n v="35"/>
    <x v="0"/>
    <n v="2735.74"/>
    <n v="3181.22999999999"/>
    <x v="1"/>
    <n v="0.1"/>
    <s v="Credit Card"/>
    <x v="1"/>
    <s v="North-Eve"/>
    <x v="4"/>
    <n v="3"/>
    <n v="2023"/>
  </r>
  <r>
    <n v="1093"/>
    <d v="2023-11-22T00:00:00"/>
    <x v="2"/>
    <x v="0"/>
    <n v="862.1"/>
    <n v="22"/>
    <x v="0"/>
    <n v="3285.25"/>
    <n v="3634.58"/>
    <x v="1"/>
    <n v="0.13"/>
    <s v="Bank Transfer"/>
    <x v="0"/>
    <s v="North-Charlie"/>
    <x v="8"/>
    <n v="11"/>
    <n v="2023"/>
  </r>
  <r>
    <n v="1042"/>
    <d v="2023-05-26T00:00:00"/>
    <x v="0"/>
    <x v="3"/>
    <n v="848.28"/>
    <n v="1"/>
    <x v="3"/>
    <n v="1406.24"/>
    <n v="1535.57"/>
    <x v="1"/>
    <n v="0.08"/>
    <s v="Credit Card"/>
    <x v="1"/>
    <s v="East-Bob"/>
    <x v="10"/>
    <n v="5"/>
    <n v="2023"/>
  </r>
  <r>
    <n v="1026"/>
    <d v="2023-05-08T00:00:00"/>
    <x v="2"/>
    <x v="1"/>
    <n v="9519.09"/>
    <n v="20"/>
    <x v="2"/>
    <n v="2985.63"/>
    <n v="3452.14"/>
    <x v="1"/>
    <n v="0.17"/>
    <s v="Credit Card"/>
    <x v="1"/>
    <s v="West-Charlie"/>
    <x v="10"/>
    <n v="5"/>
    <n v="2023"/>
  </r>
  <r>
    <n v="1099"/>
    <d v="2023-12-07T00:00:00"/>
    <x v="0"/>
    <x v="3"/>
    <n v="3043.18"/>
    <n v="22"/>
    <x v="0"/>
    <n v="2471.67"/>
    <n v="2533.04"/>
    <x v="0"/>
    <n v="0.02"/>
    <s v="Bank Transfer"/>
    <x v="1"/>
    <s v="East-Bob"/>
    <x v="9"/>
    <n v="12"/>
    <n v="2023"/>
  </r>
  <r>
    <n v="1050"/>
    <d v="2023-02-11T00:00:00"/>
    <x v="2"/>
    <x v="1"/>
    <n v="1011.46"/>
    <n v="48"/>
    <x v="0"/>
    <n v="710.06"/>
    <n v="851.349999999999"/>
    <x v="0"/>
    <n v="0.04"/>
    <s v="Bank Transfer"/>
    <x v="0"/>
    <s v="West-Charlie"/>
    <x v="0"/>
    <n v="2"/>
    <n v="2023"/>
  </r>
  <r>
    <n v="1025"/>
    <d v="2023-12-22T00:00:00"/>
    <x v="0"/>
    <x v="2"/>
    <n v="6030.54"/>
    <n v="11"/>
    <x v="1"/>
    <n v="1250.5899999999999"/>
    <n v="1515.48999999999"/>
    <x v="0"/>
    <n v="0.21"/>
    <s v="Bank Transfer"/>
    <x v="1"/>
    <s v="South-Bob"/>
    <x v="9"/>
    <n v="12"/>
    <n v="2023"/>
  </r>
  <r>
    <n v="1024"/>
    <d v="2023-02-10T00:00:00"/>
    <x v="1"/>
    <x v="3"/>
    <n v="6274.12"/>
    <n v="13"/>
    <x v="2"/>
    <n v="1493.88"/>
    <n v="1781.09"/>
    <x v="1"/>
    <n v="0.04"/>
    <s v="Cash"/>
    <x v="1"/>
    <s v="East-David"/>
    <x v="0"/>
    <n v="2"/>
    <n v="2023"/>
  </r>
  <r>
    <n v="1013"/>
    <d v="2023-02-03T00:00:00"/>
    <x v="0"/>
    <x v="0"/>
    <n v="6520.2"/>
    <n v="42"/>
    <x v="2"/>
    <n v="4625.33"/>
    <n v="4642.83"/>
    <x v="1"/>
    <n v="0.19"/>
    <s v="Credit Card"/>
    <x v="0"/>
    <s v="North-Bob"/>
    <x v="0"/>
    <n v="2"/>
    <n v="2023"/>
  </r>
  <r>
    <n v="1060"/>
    <d v="2023-01-17T00:00:00"/>
    <x v="0"/>
    <x v="2"/>
    <n v="2747.28"/>
    <n v="3"/>
    <x v="3"/>
    <n v="1190.4100000000001"/>
    <n v="1582.89"/>
    <x v="1"/>
    <n v="0.02"/>
    <s v="Credit Card"/>
    <x v="1"/>
    <s v="South-Bob"/>
    <x v="5"/>
    <n v="1"/>
    <n v="2023"/>
  </r>
  <r>
    <n v="1007"/>
    <d v="2023-06-14T00:00:00"/>
    <x v="4"/>
    <x v="0"/>
    <n v="249.6"/>
    <n v="9"/>
    <x v="2"/>
    <n v="1481.76"/>
    <n v="1668.95"/>
    <x v="0"/>
    <n v="0.12"/>
    <s v="Credit Card"/>
    <x v="1"/>
    <s v="North-Alice"/>
    <x v="6"/>
    <n v="6"/>
    <n v="2023"/>
  </r>
  <r>
    <n v="1057"/>
    <d v="2023-06-02T00:00:00"/>
    <x v="0"/>
    <x v="2"/>
    <n v="9653.65"/>
    <n v="12"/>
    <x v="3"/>
    <n v="1878.3"/>
    <n v="2087.4499999999998"/>
    <x v="1"/>
    <n v="0.05"/>
    <s v="Bank Transfer"/>
    <x v="1"/>
    <s v="South-Bob"/>
    <x v="6"/>
    <n v="6"/>
    <n v="2023"/>
  </r>
  <r>
    <n v="1036"/>
    <d v="2023-03-17T00:00:00"/>
    <x v="4"/>
    <x v="3"/>
    <n v="2583.84"/>
    <n v="23"/>
    <x v="1"/>
    <n v="3335.53"/>
    <n v="3742.12"/>
    <x v="1"/>
    <n v="0.03"/>
    <s v="Bank Transfer"/>
    <x v="1"/>
    <s v="East-Alice"/>
    <x v="4"/>
    <n v="3"/>
    <n v="2023"/>
  </r>
  <r>
    <n v="1045"/>
    <d v="2023-03-28T00:00:00"/>
    <x v="3"/>
    <x v="1"/>
    <n v="6792.66"/>
    <n v="14"/>
    <x v="2"/>
    <n v="635.28"/>
    <n v="831.13"/>
    <x v="0"/>
    <n v="0.17"/>
    <s v="Bank Transfer"/>
    <x v="1"/>
    <s v="West-Eve"/>
    <x v="4"/>
    <n v="3"/>
    <n v="2023"/>
  </r>
  <r>
    <n v="1020"/>
    <d v="2023-04-27T00:00:00"/>
    <x v="4"/>
    <x v="2"/>
    <n v="7095.64"/>
    <n v="33"/>
    <x v="0"/>
    <n v="4772.03"/>
    <n v="4805.17"/>
    <x v="0"/>
    <n v="0.28000000000000003"/>
    <s v="Bank Transfer"/>
    <x v="0"/>
    <s v="South-Alice"/>
    <x v="1"/>
    <n v="4"/>
    <n v="2023"/>
  </r>
  <r>
    <n v="1065"/>
    <d v="2023-12-28T00:00:00"/>
    <x v="1"/>
    <x v="1"/>
    <n v="6139.07"/>
    <n v="18"/>
    <x v="1"/>
    <n v="4334.58"/>
    <n v="4431.04"/>
    <x v="1"/>
    <n v="0.02"/>
    <s v="Bank Transfer"/>
    <x v="1"/>
    <s v="West-David"/>
    <x v="9"/>
    <n v="12"/>
    <n v="2023"/>
  </r>
  <r>
    <n v="1008"/>
    <d v="2023-12-08T00:00:00"/>
    <x v="4"/>
    <x v="2"/>
    <n v="3197.78"/>
    <n v="49"/>
    <x v="3"/>
    <n v="2907.22"/>
    <n v="3385.6099999999901"/>
    <x v="1"/>
    <n v="0.13"/>
    <s v="Cash"/>
    <x v="0"/>
    <s v="South-Alice"/>
    <x v="9"/>
    <n v="12"/>
    <n v="2023"/>
  </r>
  <r>
    <n v="1016"/>
    <d v="2023-01-27T00:00:00"/>
    <x v="3"/>
    <x v="0"/>
    <n v="2783.85"/>
    <n v="41"/>
    <x v="1"/>
    <n v="3386.49"/>
    <n v="3430.99"/>
    <x v="1"/>
    <n v="0.21"/>
    <s v="Bank Transfer"/>
    <x v="1"/>
    <s v="North-Eve"/>
    <x v="5"/>
    <n v="1"/>
    <n v="2023"/>
  </r>
  <r>
    <n v="1014"/>
    <d v="2023-11-09T00:00:00"/>
    <x v="1"/>
    <x v="0"/>
    <n v="6016.92"/>
    <n v="9"/>
    <x v="3"/>
    <n v="132.47"/>
    <n v="316.39"/>
    <x v="1"/>
    <n v="0.14000000000000001"/>
    <s v="Credit Card"/>
    <x v="0"/>
    <s v="North-David"/>
    <x v="8"/>
    <n v="11"/>
    <n v="2023"/>
  </r>
  <r>
    <n v="1076"/>
    <d v="2023-10-14T00:00:00"/>
    <x v="2"/>
    <x v="2"/>
    <n v="8674.35"/>
    <n v="23"/>
    <x v="1"/>
    <n v="1727.78"/>
    <n v="1984.34"/>
    <x v="0"/>
    <n v="0.24"/>
    <s v="Bank Transfer"/>
    <x v="0"/>
    <s v="South-Charlie"/>
    <x v="7"/>
    <n v="10"/>
    <n v="2023"/>
  </r>
  <r>
    <n v="1087"/>
    <d v="2023-05-14T00:00:00"/>
    <x v="2"/>
    <x v="1"/>
    <n v="9472.66"/>
    <n v="10"/>
    <x v="3"/>
    <n v="3988.52"/>
    <n v="4240.2299999999996"/>
    <x v="1"/>
    <n v="0.05"/>
    <s v="Credit Card"/>
    <x v="0"/>
    <s v="West-Charlie"/>
    <x v="10"/>
    <n v="5"/>
    <n v="2023"/>
  </r>
  <r>
    <n v="1015"/>
    <d v="2023-08-07T00:00:00"/>
    <x v="4"/>
    <x v="3"/>
    <n v="1148.47"/>
    <n v="19"/>
    <x v="2"/>
    <n v="433.54"/>
    <n v="445.48"/>
    <x v="1"/>
    <n v="0.28999999999999998"/>
    <s v="Bank Transfer"/>
    <x v="1"/>
    <s v="East-Alice"/>
    <x v="3"/>
    <n v="8"/>
    <n v="2023"/>
  </r>
  <r>
    <n v="1092"/>
    <d v="2023-06-17T00:00:00"/>
    <x v="4"/>
    <x v="3"/>
    <n v="1632.8"/>
    <n v="47"/>
    <x v="0"/>
    <n v="1447.45"/>
    <n v="1703.02"/>
    <x v="0"/>
    <n v="0.12"/>
    <s v="Bank Transfer"/>
    <x v="1"/>
    <s v="East-Alice"/>
    <x v="6"/>
    <n v="6"/>
    <n v="2023"/>
  </r>
  <r>
    <n v="1098"/>
    <d v="2023-04-08T00:00:00"/>
    <x v="3"/>
    <x v="0"/>
    <n v="9452.89"/>
    <n v="5"/>
    <x v="3"/>
    <n v="2947.22"/>
    <n v="3145.27"/>
    <x v="1"/>
    <n v="0.1"/>
    <s v="Credit Card"/>
    <x v="1"/>
    <s v="North-Eve"/>
    <x v="1"/>
    <n v="4"/>
    <n v="2023"/>
  </r>
  <r>
    <n v="1066"/>
    <d v="2023-09-25T00:00:00"/>
    <x v="3"/>
    <x v="3"/>
    <n v="7391.7"/>
    <n v="47"/>
    <x v="1"/>
    <n v="1319.24"/>
    <n v="1805.56"/>
    <x v="1"/>
    <n v="0.26"/>
    <s v="Credit Card"/>
    <x v="1"/>
    <s v="East-Eve"/>
    <x v="2"/>
    <n v="9"/>
    <n v="2023"/>
  </r>
  <r>
    <n v="1032"/>
    <d v="2023-08-25T00:00:00"/>
    <x v="0"/>
    <x v="0"/>
    <n v="8841.64"/>
    <n v="23"/>
    <x v="3"/>
    <n v="4673.1899999999996"/>
    <n v="4761.1799999999903"/>
    <x v="0"/>
    <n v="0.17"/>
    <s v="Credit Card"/>
    <x v="1"/>
    <s v="North-Bob"/>
    <x v="3"/>
    <n v="8"/>
    <n v="2023"/>
  </r>
  <r>
    <n v="1087"/>
    <d v="2023-11-05T00:00:00"/>
    <x v="3"/>
    <x v="3"/>
    <n v="2106.06"/>
    <n v="30"/>
    <x v="3"/>
    <n v="698.74"/>
    <n v="882.28"/>
    <x v="0"/>
    <n v="0.15"/>
    <s v="Credit Card"/>
    <x v="0"/>
    <s v="East-Eve"/>
    <x v="8"/>
    <n v="11"/>
    <n v="2023"/>
  </r>
  <r>
    <n v="1063"/>
    <d v="2023-06-22T00:00:00"/>
    <x v="0"/>
    <x v="2"/>
    <n v="5917.1"/>
    <n v="25"/>
    <x v="3"/>
    <n v="3997.1"/>
    <n v="4212.6499999999996"/>
    <x v="1"/>
    <n v="0.22"/>
    <s v="Cash"/>
    <x v="0"/>
    <s v="South-Bob"/>
    <x v="6"/>
    <n v="6"/>
    <n v="2023"/>
  </r>
  <r>
    <n v="1086"/>
    <d v="2023-07-09T00:00:00"/>
    <x v="1"/>
    <x v="0"/>
    <n v="7041.28"/>
    <n v="28"/>
    <x v="1"/>
    <n v="2564.35"/>
    <n v="2765.79"/>
    <x v="0"/>
    <n v="0.17"/>
    <s v="Credit Card"/>
    <x v="0"/>
    <s v="North-David"/>
    <x v="11"/>
    <n v="7"/>
    <n v="2023"/>
  </r>
  <r>
    <n v="1051"/>
    <d v="2023-05-02T00:00:00"/>
    <x v="4"/>
    <x v="0"/>
    <n v="6833.11"/>
    <n v="34"/>
    <x v="0"/>
    <n v="3764.14"/>
    <n v="4100.3999999999996"/>
    <x v="0"/>
    <n v="0.05"/>
    <s v="Bank Transfer"/>
    <x v="1"/>
    <s v="North-Alice"/>
    <x v="10"/>
    <n v="5"/>
    <n v="2023"/>
  </r>
  <r>
    <n v="1025"/>
    <d v="2023-02-15T00:00:00"/>
    <x v="1"/>
    <x v="2"/>
    <n v="4140.7"/>
    <n v="45"/>
    <x v="2"/>
    <n v="1588.04"/>
    <n v="1703.6399999999901"/>
    <x v="1"/>
    <n v="0.2"/>
    <s v="Bank Transfer"/>
    <x v="1"/>
    <s v="South-David"/>
    <x v="0"/>
    <n v="2"/>
    <n v="2023"/>
  </r>
  <r>
    <n v="1058"/>
    <d v="2023-03-05T00:00:00"/>
    <x v="3"/>
    <x v="0"/>
    <n v="252.41"/>
    <n v="48"/>
    <x v="0"/>
    <n v="2596.7199999999998"/>
    <n v="2715.0499999999902"/>
    <x v="0"/>
    <n v="0.04"/>
    <s v="Cash"/>
    <x v="0"/>
    <s v="North-Eve"/>
    <x v="4"/>
    <n v="3"/>
    <n v="2023"/>
  </r>
  <r>
    <n v="1063"/>
    <d v="2023-05-10T00:00:00"/>
    <x v="1"/>
    <x v="3"/>
    <n v="5870.97"/>
    <n v="47"/>
    <x v="3"/>
    <n v="4291.33"/>
    <n v="4658.6400000000003"/>
    <x v="1"/>
    <n v="0.24"/>
    <s v="Credit Card"/>
    <x v="1"/>
    <s v="East-David"/>
    <x v="10"/>
    <n v="5"/>
    <n v="2023"/>
  </r>
  <r>
    <n v="1062"/>
    <d v="2023-11-06T00:00:00"/>
    <x v="1"/>
    <x v="3"/>
    <n v="2605.71"/>
    <n v="25"/>
    <x v="1"/>
    <n v="2361.0500000000002"/>
    <n v="2616.19"/>
    <x v="1"/>
    <n v="0.3"/>
    <s v="Bank Transfer"/>
    <x v="1"/>
    <s v="East-David"/>
    <x v="8"/>
    <n v="11"/>
    <n v="2023"/>
  </r>
  <r>
    <n v="1022"/>
    <d v="2023-12-29T00:00:00"/>
    <x v="1"/>
    <x v="0"/>
    <n v="4557.5200000000004"/>
    <n v="10"/>
    <x v="0"/>
    <n v="1830.61"/>
    <n v="2044.04"/>
    <x v="1"/>
    <n v="0.11"/>
    <s v="Cash"/>
    <x v="0"/>
    <s v="North-David"/>
    <x v="9"/>
    <n v="12"/>
    <n v="2023"/>
  </r>
  <r>
    <n v="1058"/>
    <d v="2023-07-12T00:00:00"/>
    <x v="3"/>
    <x v="3"/>
    <n v="9580.0499999999993"/>
    <n v="14"/>
    <x v="3"/>
    <n v="2703.97"/>
    <n v="2796.8799999999901"/>
    <x v="1"/>
    <n v="0.13"/>
    <s v="Bank Transfer"/>
    <x v="0"/>
    <s v="East-Eve"/>
    <x v="11"/>
    <n v="7"/>
    <n v="2023"/>
  </r>
  <r>
    <n v="1058"/>
    <d v="2023-11-03T00:00:00"/>
    <x v="1"/>
    <x v="1"/>
    <n v="4050.45"/>
    <n v="42"/>
    <x v="2"/>
    <n v="3600.95"/>
    <n v="3702.8399999999901"/>
    <x v="0"/>
    <n v="0.01"/>
    <s v="Cash"/>
    <x v="1"/>
    <s v="West-David"/>
    <x v="8"/>
    <n v="11"/>
    <n v="2023"/>
  </r>
  <r>
    <n v="1086"/>
    <d v="2023-06-30T00:00:00"/>
    <x v="0"/>
    <x v="0"/>
    <n v="8414.0400000000009"/>
    <n v="46"/>
    <x v="2"/>
    <n v="2245.64"/>
    <n v="2260.81"/>
    <x v="1"/>
    <n v="0"/>
    <s v="Cash"/>
    <x v="1"/>
    <s v="North-Bob"/>
    <x v="6"/>
    <n v="6"/>
    <n v="2023"/>
  </r>
  <r>
    <n v="1049"/>
    <d v="2023-10-19T00:00:00"/>
    <x v="3"/>
    <x v="2"/>
    <n v="1966.55"/>
    <n v="30"/>
    <x v="2"/>
    <n v="4697.4399999999996"/>
    <n v="4752.24"/>
    <x v="1"/>
    <n v="0.28000000000000003"/>
    <s v="Credit Card"/>
    <x v="0"/>
    <s v="South-Eve"/>
    <x v="7"/>
    <n v="10"/>
    <n v="2023"/>
  </r>
  <r>
    <n v="1052"/>
    <d v="2023-10-09T00:00:00"/>
    <x v="1"/>
    <x v="1"/>
    <n v="6757.36"/>
    <n v="41"/>
    <x v="3"/>
    <n v="1509.98"/>
    <n v="1792.83"/>
    <x v="1"/>
    <n v="0.04"/>
    <s v="Cash"/>
    <x v="1"/>
    <s v="West-David"/>
    <x v="7"/>
    <n v="10"/>
    <n v="2023"/>
  </r>
  <r>
    <n v="1042"/>
    <d v="2023-01-29T00:00:00"/>
    <x v="3"/>
    <x v="0"/>
    <n v="9772.3700000000008"/>
    <n v="25"/>
    <x v="1"/>
    <n v="2403.54"/>
    <n v="2850.56"/>
    <x v="1"/>
    <n v="0.13"/>
    <s v="Bank Transfer"/>
    <x v="0"/>
    <s v="North-Eve"/>
    <x v="5"/>
    <n v="1"/>
    <n v="2023"/>
  </r>
  <r>
    <n v="1070"/>
    <d v="2023-05-29T00:00:00"/>
    <x v="2"/>
    <x v="2"/>
    <n v="1108.74"/>
    <n v="14"/>
    <x v="0"/>
    <n v="3796.79"/>
    <n v="3947.5"/>
    <x v="0"/>
    <n v="0.24"/>
    <s v="Bank Transfer"/>
    <x v="0"/>
    <s v="South-Charlie"/>
    <x v="10"/>
    <n v="5"/>
    <n v="2023"/>
  </r>
  <r>
    <n v="1015"/>
    <d v="2023-09-24T00:00:00"/>
    <x v="0"/>
    <x v="3"/>
    <n v="182.37"/>
    <n v="35"/>
    <x v="2"/>
    <n v="3461.15"/>
    <n v="3631.75"/>
    <x v="0"/>
    <n v="0.27"/>
    <s v="Credit Card"/>
    <x v="0"/>
    <s v="East-Bob"/>
    <x v="2"/>
    <n v="9"/>
    <n v="2023"/>
  </r>
  <r>
    <n v="1054"/>
    <d v="2023-10-23T00:00:00"/>
    <x v="1"/>
    <x v="2"/>
    <n v="4392.47"/>
    <n v="48"/>
    <x v="3"/>
    <n v="4325.0200000000004"/>
    <n v="4391.67"/>
    <x v="0"/>
    <n v="0.16"/>
    <s v="Credit Card"/>
    <x v="1"/>
    <s v="South-David"/>
    <x v="7"/>
    <n v="10"/>
    <n v="2023"/>
  </r>
  <r>
    <n v="1060"/>
    <d v="2023-01-11T00:00:00"/>
    <x v="2"/>
    <x v="1"/>
    <n v="1016.99"/>
    <n v="34"/>
    <x v="3"/>
    <n v="4984.21"/>
    <n v="5184.6400000000003"/>
    <x v="1"/>
    <n v="0.17"/>
    <s v="Cash"/>
    <x v="0"/>
    <s v="West-Charlie"/>
    <x v="5"/>
    <n v="1"/>
    <n v="2023"/>
  </r>
  <r>
    <n v="1097"/>
    <d v="2023-06-13T00:00:00"/>
    <x v="2"/>
    <x v="3"/>
    <n v="7509.01"/>
    <n v="10"/>
    <x v="0"/>
    <n v="2162.9499999999998"/>
    <n v="2191.1899999999901"/>
    <x v="0"/>
    <n v="0.2"/>
    <s v="Credit Card"/>
    <x v="0"/>
    <s v="East-Charlie"/>
    <x v="6"/>
    <n v="6"/>
    <n v="2023"/>
  </r>
  <r>
    <n v="1008"/>
    <d v="2023-04-23T00:00:00"/>
    <x v="3"/>
    <x v="0"/>
    <n v="9154.0300000000007"/>
    <n v="35"/>
    <x v="2"/>
    <n v="600.20000000000005"/>
    <n v="1059.82"/>
    <x v="0"/>
    <n v="0.28999999999999998"/>
    <s v="Bank Transfer"/>
    <x v="1"/>
    <s v="North-Eve"/>
    <x v="1"/>
    <n v="4"/>
    <n v="2023"/>
  </r>
  <r>
    <n v="1053"/>
    <d v="2023-07-06T00:00:00"/>
    <x v="2"/>
    <x v="3"/>
    <n v="4396.8100000000004"/>
    <n v="11"/>
    <x v="3"/>
    <n v="200.56"/>
    <n v="540.38"/>
    <x v="1"/>
    <n v="0.18"/>
    <s v="Bank Transfer"/>
    <x v="0"/>
    <s v="East-Charlie"/>
    <x v="11"/>
    <n v="7"/>
    <n v="2023"/>
  </r>
  <r>
    <n v="1060"/>
    <d v="2023-10-22T00:00:00"/>
    <x v="0"/>
    <x v="0"/>
    <n v="2661.25"/>
    <n v="11"/>
    <x v="0"/>
    <n v="3648.04"/>
    <n v="4143.51"/>
    <x v="0"/>
    <n v="0.17"/>
    <s v="Credit Card"/>
    <x v="1"/>
    <s v="North-Bob"/>
    <x v="7"/>
    <n v="10"/>
    <n v="2023"/>
  </r>
  <r>
    <n v="1005"/>
    <d v="2023-08-20T00:00:00"/>
    <x v="0"/>
    <x v="0"/>
    <n v="4400.59"/>
    <n v="21"/>
    <x v="1"/>
    <n v="4376.37"/>
    <n v="4818.95"/>
    <x v="1"/>
    <n v="0"/>
    <s v="Credit Card"/>
    <x v="1"/>
    <s v="North-Bob"/>
    <x v="3"/>
    <n v="8"/>
    <n v="2023"/>
  </r>
  <r>
    <n v="1068"/>
    <d v="2023-08-15T00:00:00"/>
    <x v="4"/>
    <x v="2"/>
    <n v="7262.13"/>
    <n v="21"/>
    <x v="1"/>
    <n v="1142.53"/>
    <n v="1384.3"/>
    <x v="0"/>
    <n v="0.02"/>
    <s v="Credit Card"/>
    <x v="1"/>
    <s v="South-Alice"/>
    <x v="3"/>
    <n v="8"/>
    <n v="2023"/>
  </r>
  <r>
    <n v="1006"/>
    <d v="2023-11-06T00:00:00"/>
    <x v="0"/>
    <x v="2"/>
    <n v="189.64"/>
    <n v="22"/>
    <x v="1"/>
    <n v="834.32"/>
    <n v="1098.97"/>
    <x v="0"/>
    <n v="0.17"/>
    <s v="Cash"/>
    <x v="0"/>
    <s v="South-Bob"/>
    <x v="8"/>
    <n v="11"/>
    <n v="2023"/>
  </r>
  <r>
    <n v="1096"/>
    <d v="2023-04-08T00:00:00"/>
    <x v="2"/>
    <x v="2"/>
    <n v="5935.59"/>
    <n v="45"/>
    <x v="2"/>
    <n v="357.92"/>
    <n v="461.3"/>
    <x v="0"/>
    <n v="0.28000000000000003"/>
    <s v="Cash"/>
    <x v="0"/>
    <s v="South-Charlie"/>
    <x v="1"/>
    <n v="4"/>
    <n v="2023"/>
  </r>
  <r>
    <n v="1094"/>
    <d v="2023-02-24T00:00:00"/>
    <x v="0"/>
    <x v="1"/>
    <n v="6171.59"/>
    <n v="7"/>
    <x v="0"/>
    <n v="4122.38"/>
    <n v="4358.78"/>
    <x v="0"/>
    <n v="0.26"/>
    <s v="Bank Transfer"/>
    <x v="1"/>
    <s v="West-Bob"/>
    <x v="0"/>
    <n v="2"/>
    <n v="2023"/>
  </r>
  <r>
    <n v="1047"/>
    <d v="2023-04-21T00:00:00"/>
    <x v="3"/>
    <x v="1"/>
    <n v="6413.11"/>
    <n v="17"/>
    <x v="0"/>
    <n v="1591.34"/>
    <n v="2043.82"/>
    <x v="1"/>
    <n v="0.28999999999999998"/>
    <s v="Cash"/>
    <x v="1"/>
    <s v="West-Eve"/>
    <x v="1"/>
    <n v="4"/>
    <n v="2023"/>
  </r>
  <r>
    <n v="1099"/>
    <d v="2023-06-01T00:00:00"/>
    <x v="4"/>
    <x v="2"/>
    <n v="2496.02"/>
    <n v="2"/>
    <x v="3"/>
    <n v="2038.4"/>
    <n v="2073.3200000000002"/>
    <x v="1"/>
    <n v="0.16"/>
    <s v="Cash"/>
    <x v="1"/>
    <s v="South-Alice"/>
    <x v="6"/>
    <n v="6"/>
    <n v="2023"/>
  </r>
  <r>
    <n v="1055"/>
    <d v="2023-09-03T00:00:00"/>
    <x v="2"/>
    <x v="1"/>
    <n v="7169.12"/>
    <n v="12"/>
    <x v="3"/>
    <n v="2538.61"/>
    <n v="2971.75"/>
    <x v="0"/>
    <n v="0.24"/>
    <s v="Cash"/>
    <x v="0"/>
    <s v="West-Charlie"/>
    <x v="2"/>
    <n v="9"/>
    <n v="2023"/>
  </r>
  <r>
    <n v="1040"/>
    <d v="2023-03-10T00:00:00"/>
    <x v="4"/>
    <x v="3"/>
    <n v="1004.78"/>
    <n v="42"/>
    <x v="3"/>
    <n v="4205.29"/>
    <n v="4382.3500000000004"/>
    <x v="1"/>
    <n v="0.25"/>
    <s v="Cash"/>
    <x v="1"/>
    <s v="East-Alice"/>
    <x v="4"/>
    <n v="3"/>
    <n v="2023"/>
  </r>
  <r>
    <n v="1052"/>
    <d v="2023-11-08T00:00:00"/>
    <x v="2"/>
    <x v="3"/>
    <n v="2072.7800000000002"/>
    <n v="18"/>
    <x v="0"/>
    <n v="3271.62"/>
    <n v="3722.38"/>
    <x v="0"/>
    <n v="0.19"/>
    <s v="Bank Transfer"/>
    <x v="1"/>
    <s v="East-Charlie"/>
    <x v="8"/>
    <n v="11"/>
    <n v="2023"/>
  </r>
  <r>
    <n v="1016"/>
    <d v="2023-10-16T00:00:00"/>
    <x v="3"/>
    <x v="1"/>
    <n v="8786.9500000000007"/>
    <n v="11"/>
    <x v="3"/>
    <n v="3094.57"/>
    <n v="3565.6"/>
    <x v="0"/>
    <n v="0.1"/>
    <s v="Credit Card"/>
    <x v="1"/>
    <s v="West-Eve"/>
    <x v="7"/>
    <n v="10"/>
    <n v="2023"/>
  </r>
  <r>
    <n v="1013"/>
    <d v="2023-09-07T00:00:00"/>
    <x v="4"/>
    <x v="1"/>
    <n v="7413.36"/>
    <n v="16"/>
    <x v="0"/>
    <n v="919.58"/>
    <n v="1258.3"/>
    <x v="0"/>
    <n v="0.14000000000000001"/>
    <s v="Bank Transfer"/>
    <x v="0"/>
    <s v="West-Alice"/>
    <x v="2"/>
    <n v="9"/>
    <n v="2023"/>
  </r>
  <r>
    <n v="1030"/>
    <d v="2023-02-05T00:00:00"/>
    <x v="1"/>
    <x v="3"/>
    <n v="236.08"/>
    <n v="49"/>
    <x v="0"/>
    <n v="2590.29"/>
    <n v="2925.86"/>
    <x v="0"/>
    <n v="0.26"/>
    <s v="Cash"/>
    <x v="1"/>
    <s v="East-David"/>
    <x v="0"/>
    <n v="2"/>
    <n v="2023"/>
  </r>
  <r>
    <n v="1019"/>
    <d v="2023-08-27T00:00:00"/>
    <x v="2"/>
    <x v="0"/>
    <n v="2558.92"/>
    <n v="18"/>
    <x v="1"/>
    <n v="3591.14"/>
    <n v="3822.99"/>
    <x v="0"/>
    <n v="0.09"/>
    <s v="Credit Card"/>
    <x v="0"/>
    <s v="North-Charlie"/>
    <x v="3"/>
    <n v="8"/>
    <n v="2023"/>
  </r>
  <r>
    <n v="1017"/>
    <d v="2023-05-28T00:00:00"/>
    <x v="1"/>
    <x v="3"/>
    <n v="2222.62"/>
    <n v="35"/>
    <x v="3"/>
    <n v="4867.6400000000003"/>
    <n v="5287.05"/>
    <x v="0"/>
    <n v="0.28000000000000003"/>
    <s v="Credit Card"/>
    <x v="0"/>
    <s v="East-David"/>
    <x v="10"/>
    <n v="5"/>
    <n v="2023"/>
  </r>
  <r>
    <n v="1063"/>
    <d v="2023-08-15T00:00:00"/>
    <x v="4"/>
    <x v="3"/>
    <n v="2780.98"/>
    <n v="26"/>
    <x v="1"/>
    <n v="1046.96"/>
    <n v="1528.15"/>
    <x v="1"/>
    <n v="7.0000000000000007E-2"/>
    <s v="Credit Card"/>
    <x v="1"/>
    <s v="East-Alice"/>
    <x v="3"/>
    <n v="8"/>
    <n v="2023"/>
  </r>
  <r>
    <n v="1019"/>
    <d v="2023-09-01T00:00:00"/>
    <x v="1"/>
    <x v="1"/>
    <n v="2550.84"/>
    <n v="16"/>
    <x v="2"/>
    <n v="97.24"/>
    <n v="487.03"/>
    <x v="1"/>
    <n v="0.22"/>
    <s v="Bank Transfer"/>
    <x v="1"/>
    <s v="West-David"/>
    <x v="2"/>
    <n v="9"/>
    <n v="2023"/>
  </r>
  <r>
    <n v="1092"/>
    <d v="2023-12-03T00:00:00"/>
    <x v="1"/>
    <x v="3"/>
    <n v="719.01"/>
    <n v="6"/>
    <x v="2"/>
    <n v="422.74"/>
    <n v="737.49"/>
    <x v="0"/>
    <n v="0.19"/>
    <s v="Credit Card"/>
    <x v="1"/>
    <s v="East-David"/>
    <x v="9"/>
    <n v="12"/>
    <n v="2023"/>
  </r>
  <r>
    <n v="1058"/>
    <d v="2023-12-31T00:00:00"/>
    <x v="4"/>
    <x v="1"/>
    <n v="4643.51"/>
    <n v="44"/>
    <x v="2"/>
    <n v="1910.47"/>
    <n v="2217.8000000000002"/>
    <x v="1"/>
    <n v="0.22"/>
    <s v="Bank Transfer"/>
    <x v="0"/>
    <s v="West-Alice"/>
    <x v="9"/>
    <n v="12"/>
    <n v="2023"/>
  </r>
  <r>
    <n v="1055"/>
    <d v="2023-07-20T00:00:00"/>
    <x v="3"/>
    <x v="1"/>
    <n v="7354.06"/>
    <n v="43"/>
    <x v="0"/>
    <n v="4111.7"/>
    <n v="4537.9399999999996"/>
    <x v="0"/>
    <n v="0.13"/>
    <s v="Bank Transfer"/>
    <x v="0"/>
    <s v="West-Eve"/>
    <x v="11"/>
    <n v="7"/>
    <n v="2023"/>
  </r>
  <r>
    <n v="1090"/>
    <d v="2023-06-03T00:00:00"/>
    <x v="1"/>
    <x v="2"/>
    <n v="6106.64"/>
    <n v="47"/>
    <x v="0"/>
    <n v="85.35"/>
    <n v="360.539999999999"/>
    <x v="1"/>
    <n v="0.28000000000000003"/>
    <s v="Cash"/>
    <x v="0"/>
    <s v="South-David"/>
    <x v="6"/>
    <n v="6"/>
    <n v="2023"/>
  </r>
  <r>
    <n v="1090"/>
    <d v="2023-03-14T00:00:00"/>
    <x v="1"/>
    <x v="3"/>
    <n v="6761.43"/>
    <n v="47"/>
    <x v="0"/>
    <n v="2310.8200000000002"/>
    <n v="2714.71"/>
    <x v="1"/>
    <n v="0.19"/>
    <s v="Cash"/>
    <x v="1"/>
    <s v="East-David"/>
    <x v="4"/>
    <n v="3"/>
    <n v="2023"/>
  </r>
  <r>
    <n v="1062"/>
    <d v="2023-07-20T00:00:00"/>
    <x v="3"/>
    <x v="0"/>
    <n v="903.38"/>
    <n v="48"/>
    <x v="3"/>
    <n v="1679.69"/>
    <n v="1939.04"/>
    <x v="1"/>
    <n v="0.09"/>
    <s v="Credit Card"/>
    <x v="0"/>
    <s v="North-Eve"/>
    <x v="11"/>
    <n v="7"/>
    <n v="2023"/>
  </r>
  <r>
    <n v="1023"/>
    <d v="2023-10-23T00:00:00"/>
    <x v="1"/>
    <x v="2"/>
    <n v="9519.76"/>
    <n v="42"/>
    <x v="1"/>
    <n v="309.77999999999997"/>
    <n v="350.38"/>
    <x v="0"/>
    <n v="0.19"/>
    <s v="Credit Card"/>
    <x v="1"/>
    <s v="South-David"/>
    <x v="7"/>
    <n v="10"/>
    <n v="2023"/>
  </r>
  <r>
    <n v="1009"/>
    <d v="2023-01-17T00:00:00"/>
    <x v="1"/>
    <x v="1"/>
    <n v="8401.07"/>
    <n v="12"/>
    <x v="0"/>
    <n v="2278.67"/>
    <n v="2476.8000000000002"/>
    <x v="1"/>
    <n v="0.09"/>
    <s v="Cash"/>
    <x v="1"/>
    <s v="West-David"/>
    <x v="5"/>
    <n v="1"/>
    <n v="2023"/>
  </r>
  <r>
    <n v="1012"/>
    <d v="2023-05-09T00:00:00"/>
    <x v="1"/>
    <x v="1"/>
    <n v="8070.39"/>
    <n v="13"/>
    <x v="1"/>
    <n v="1311.01"/>
    <n v="1538.79"/>
    <x v="0"/>
    <n v="0.09"/>
    <s v="Bank Transfer"/>
    <x v="1"/>
    <s v="West-David"/>
    <x v="10"/>
    <n v="5"/>
    <n v="2023"/>
  </r>
  <r>
    <n v="1001"/>
    <d v="2023-08-05T00:00:00"/>
    <x v="0"/>
    <x v="0"/>
    <n v="8247.5400000000009"/>
    <n v="4"/>
    <x v="1"/>
    <n v="1791.83"/>
    <n v="1871.22"/>
    <x v="0"/>
    <n v="0.12"/>
    <s v="Bank Transfer"/>
    <x v="0"/>
    <s v="North-Bob"/>
    <x v="3"/>
    <n v="8"/>
    <n v="2023"/>
  </r>
  <r>
    <n v="1058"/>
    <d v="2023-03-02T00:00:00"/>
    <x v="3"/>
    <x v="1"/>
    <n v="9333.83"/>
    <n v="39"/>
    <x v="1"/>
    <n v="3542.8"/>
    <n v="3603.02"/>
    <x v="0"/>
    <n v="0.26"/>
    <s v="Cash"/>
    <x v="0"/>
    <s v="West-Eve"/>
    <x v="4"/>
    <n v="3"/>
    <n v="2023"/>
  </r>
  <r>
    <n v="1001"/>
    <d v="2023-04-14T00:00:00"/>
    <x v="1"/>
    <x v="3"/>
    <n v="5488.11"/>
    <n v="2"/>
    <x v="3"/>
    <n v="2631.68"/>
    <n v="2904.06"/>
    <x v="1"/>
    <n v="0.15"/>
    <s v="Bank Transfer"/>
    <x v="0"/>
    <s v="East-David"/>
    <x v="1"/>
    <n v="4"/>
    <n v="2023"/>
  </r>
  <r>
    <n v="1034"/>
    <d v="2023-02-11T00:00:00"/>
    <x v="3"/>
    <x v="2"/>
    <n v="2082.79"/>
    <n v="26"/>
    <x v="3"/>
    <n v="667"/>
    <n v="718.72"/>
    <x v="1"/>
    <n v="0.2"/>
    <s v="Cash"/>
    <x v="1"/>
    <s v="South-Eve"/>
    <x v="0"/>
    <n v="2"/>
    <n v="2023"/>
  </r>
  <r>
    <n v="1096"/>
    <d v="2023-01-25T00:00:00"/>
    <x v="2"/>
    <x v="1"/>
    <n v="6206.16"/>
    <n v="27"/>
    <x v="2"/>
    <n v="4809"/>
    <n v="4967.4399999999996"/>
    <x v="1"/>
    <n v="0.12"/>
    <s v="Cash"/>
    <x v="0"/>
    <s v="West-Charlie"/>
    <x v="5"/>
    <n v="1"/>
    <n v="2023"/>
  </r>
  <r>
    <n v="1048"/>
    <d v="2023-02-08T00:00:00"/>
    <x v="2"/>
    <x v="1"/>
    <n v="7454.53"/>
    <n v="27"/>
    <x v="2"/>
    <n v="3197.76"/>
    <n v="3572.61"/>
    <x v="0"/>
    <n v="0.08"/>
    <s v="Credit Card"/>
    <x v="0"/>
    <s v="West-Charlie"/>
    <x v="0"/>
    <n v="2"/>
    <n v="2023"/>
  </r>
  <r>
    <n v="1089"/>
    <d v="2023-10-18T00:00:00"/>
    <x v="1"/>
    <x v="0"/>
    <n v="7405.38"/>
    <n v="15"/>
    <x v="1"/>
    <n v="3841.05"/>
    <n v="4323.62"/>
    <x v="0"/>
    <n v="0.28999999999999998"/>
    <s v="Credit Card"/>
    <x v="1"/>
    <s v="North-David"/>
    <x v="7"/>
    <n v="10"/>
    <n v="2023"/>
  </r>
  <r>
    <n v="1001"/>
    <d v="2023-05-11T00:00:00"/>
    <x v="3"/>
    <x v="3"/>
    <n v="5262.35"/>
    <n v="8"/>
    <x v="2"/>
    <n v="442.11"/>
    <n v="803.87"/>
    <x v="1"/>
    <n v="0.18"/>
    <s v="Cash"/>
    <x v="1"/>
    <s v="East-Eve"/>
    <x v="10"/>
    <n v="5"/>
    <n v="2023"/>
  </r>
  <r>
    <n v="1016"/>
    <d v="2023-08-17T00:00:00"/>
    <x v="3"/>
    <x v="1"/>
    <n v="777.74"/>
    <n v="7"/>
    <x v="1"/>
    <n v="282.94"/>
    <n v="779.32999999999902"/>
    <x v="0"/>
    <n v="0.28000000000000003"/>
    <s v="Credit Card"/>
    <x v="0"/>
    <s v="West-Eve"/>
    <x v="3"/>
    <n v="8"/>
    <n v="2023"/>
  </r>
  <r>
    <n v="1061"/>
    <d v="2023-04-18T00:00:00"/>
    <x v="3"/>
    <x v="0"/>
    <n v="3774.02"/>
    <n v="47"/>
    <x v="3"/>
    <n v="146.27000000000001"/>
    <n v="498.46"/>
    <x v="1"/>
    <n v="0.06"/>
    <s v="Cash"/>
    <x v="1"/>
    <s v="North-Eve"/>
    <x v="1"/>
    <n v="4"/>
    <n v="2023"/>
  </r>
  <r>
    <n v="1064"/>
    <d v="2023-06-21T00:00:00"/>
    <x v="0"/>
    <x v="1"/>
    <n v="9215.59"/>
    <n v="46"/>
    <x v="3"/>
    <n v="984.53"/>
    <n v="1138.49"/>
    <x v="1"/>
    <n v="0.04"/>
    <s v="Bank Transfer"/>
    <x v="0"/>
    <s v="West-Bob"/>
    <x v="6"/>
    <n v="6"/>
    <n v="2023"/>
  </r>
  <r>
    <n v="1063"/>
    <d v="2023-04-12T00:00:00"/>
    <x v="2"/>
    <x v="0"/>
    <n v="5886.04"/>
    <n v="40"/>
    <x v="3"/>
    <n v="2101.3200000000002"/>
    <n v="2440.63"/>
    <x v="1"/>
    <n v="0.26"/>
    <s v="Bank Transfer"/>
    <x v="1"/>
    <s v="North-Charlie"/>
    <x v="1"/>
    <n v="4"/>
    <n v="2023"/>
  </r>
  <r>
    <n v="1069"/>
    <d v="2023-12-20T00:00:00"/>
    <x v="3"/>
    <x v="0"/>
    <n v="5429.49"/>
    <n v="12"/>
    <x v="0"/>
    <n v="4682.34"/>
    <n v="5036.3999999999996"/>
    <x v="1"/>
    <n v="0.2"/>
    <s v="Bank Transfer"/>
    <x v="1"/>
    <s v="North-Eve"/>
    <x v="9"/>
    <n v="12"/>
    <n v="2023"/>
  </r>
  <r>
    <n v="1022"/>
    <d v="2023-01-12T00:00:00"/>
    <x v="3"/>
    <x v="3"/>
    <n v="2761.65"/>
    <n v="13"/>
    <x v="1"/>
    <n v="2312.4499999999998"/>
    <n v="2504.6"/>
    <x v="0"/>
    <n v="0.06"/>
    <s v="Bank Transfer"/>
    <x v="0"/>
    <s v="East-Eve"/>
    <x v="5"/>
    <n v="1"/>
    <n v="2023"/>
  </r>
  <r>
    <n v="1093"/>
    <d v="2023-10-02T00:00:00"/>
    <x v="0"/>
    <x v="1"/>
    <n v="3747.64"/>
    <n v="43"/>
    <x v="3"/>
    <n v="1486.76"/>
    <n v="1505.44"/>
    <x v="1"/>
    <n v="0.08"/>
    <s v="Cash"/>
    <x v="1"/>
    <s v="West-Bob"/>
    <x v="7"/>
    <n v="10"/>
    <n v="2023"/>
  </r>
  <r>
    <n v="1067"/>
    <d v="2023-04-11T00:00:00"/>
    <x v="0"/>
    <x v="3"/>
    <n v="8963.93"/>
    <n v="17"/>
    <x v="1"/>
    <n v="2831.58"/>
    <n v="3186.15"/>
    <x v="1"/>
    <n v="0.24"/>
    <s v="Bank Transfer"/>
    <x v="1"/>
    <s v="East-Bob"/>
    <x v="1"/>
    <n v="4"/>
    <n v="2023"/>
  </r>
  <r>
    <n v="1076"/>
    <d v="2023-02-13T00:00:00"/>
    <x v="3"/>
    <x v="0"/>
    <n v="6697.98"/>
    <n v="17"/>
    <x v="2"/>
    <n v="604.08000000000004"/>
    <n v="624.71"/>
    <x v="1"/>
    <n v="0.14000000000000001"/>
    <s v="Bank Transfer"/>
    <x v="1"/>
    <s v="North-Eve"/>
    <x v="0"/>
    <n v="2"/>
    <n v="2023"/>
  </r>
  <r>
    <n v="1026"/>
    <d v="2023-11-01T00:00:00"/>
    <x v="4"/>
    <x v="2"/>
    <n v="7895.13"/>
    <n v="36"/>
    <x v="2"/>
    <n v="3067.05"/>
    <n v="3386.33"/>
    <x v="1"/>
    <n v="0.2"/>
    <s v="Bank Transfer"/>
    <x v="0"/>
    <s v="South-Alice"/>
    <x v="8"/>
    <n v="11"/>
    <n v="2023"/>
  </r>
  <r>
    <n v="1016"/>
    <d v="2023-01-17T00:00:00"/>
    <x v="3"/>
    <x v="1"/>
    <n v="4598.0200000000004"/>
    <n v="21"/>
    <x v="3"/>
    <n v="2863.74"/>
    <n v="2953.91"/>
    <x v="1"/>
    <n v="0.1"/>
    <s v="Bank Transfer"/>
    <x v="1"/>
    <s v="West-Eve"/>
    <x v="5"/>
    <n v="1"/>
    <n v="2023"/>
  </r>
  <r>
    <n v="1051"/>
    <d v="2023-11-26T00:00:00"/>
    <x v="3"/>
    <x v="2"/>
    <n v="6339.45"/>
    <n v="8"/>
    <x v="1"/>
    <n v="3970.37"/>
    <n v="4257.5199999999904"/>
    <x v="1"/>
    <n v="0.11"/>
    <s v="Cash"/>
    <x v="1"/>
    <s v="South-Eve"/>
    <x v="8"/>
    <n v="11"/>
    <n v="2023"/>
  </r>
  <r>
    <n v="1086"/>
    <d v="2023-02-26T00:00:00"/>
    <x v="0"/>
    <x v="1"/>
    <n v="2559"/>
    <n v="5"/>
    <x v="3"/>
    <n v="4934.1000000000004"/>
    <n v="5191.0200000000004"/>
    <x v="1"/>
    <n v="0.3"/>
    <s v="Bank Transfer"/>
    <x v="0"/>
    <s v="West-Bob"/>
    <x v="0"/>
    <n v="2"/>
    <n v="2023"/>
  </r>
  <r>
    <n v="1057"/>
    <d v="2023-11-07T00:00:00"/>
    <x v="0"/>
    <x v="3"/>
    <n v="7084.06"/>
    <n v="26"/>
    <x v="2"/>
    <n v="1291.82"/>
    <n v="1308.4399999999901"/>
    <x v="0"/>
    <n v="7.0000000000000007E-2"/>
    <s v="Credit Card"/>
    <x v="0"/>
    <s v="East-Bob"/>
    <x v="8"/>
    <n v="11"/>
    <n v="2023"/>
  </r>
  <r>
    <n v="1029"/>
    <d v="2023-10-30T00:00:00"/>
    <x v="3"/>
    <x v="3"/>
    <n v="4333.25"/>
    <n v="16"/>
    <x v="3"/>
    <n v="2572.8000000000002"/>
    <n v="2760.6"/>
    <x v="0"/>
    <n v="0.15"/>
    <s v="Credit Card"/>
    <x v="1"/>
    <s v="East-Eve"/>
    <x v="7"/>
    <n v="10"/>
    <n v="2023"/>
  </r>
  <r>
    <n v="1078"/>
    <d v="2023-01-12T00:00:00"/>
    <x v="3"/>
    <x v="3"/>
    <n v="4481.2"/>
    <n v="36"/>
    <x v="1"/>
    <n v="4548.88"/>
    <n v="4853.41"/>
    <x v="0"/>
    <n v="0.25"/>
    <s v="Credit Card"/>
    <x v="1"/>
    <s v="East-Eve"/>
    <x v="5"/>
    <n v="1"/>
    <n v="2023"/>
  </r>
  <r>
    <n v="1092"/>
    <d v="2023-11-14T00:00:00"/>
    <x v="3"/>
    <x v="3"/>
    <n v="6528.29"/>
    <n v="28"/>
    <x v="2"/>
    <n v="3936.69"/>
    <n v="4362.51"/>
    <x v="0"/>
    <n v="7.0000000000000007E-2"/>
    <s v="Credit Card"/>
    <x v="1"/>
    <s v="East-Eve"/>
    <x v="8"/>
    <n v="11"/>
    <n v="2023"/>
  </r>
  <r>
    <n v="1069"/>
    <d v="2023-03-21T00:00:00"/>
    <x v="0"/>
    <x v="3"/>
    <n v="9369.18"/>
    <n v="29"/>
    <x v="0"/>
    <n v="2462.66"/>
    <n v="2908.0899999999901"/>
    <x v="1"/>
    <n v="0.12"/>
    <s v="Credit Card"/>
    <x v="0"/>
    <s v="East-Bob"/>
    <x v="4"/>
    <n v="3"/>
    <n v="2023"/>
  </r>
  <r>
    <n v="1047"/>
    <d v="2023-08-04T00:00:00"/>
    <x v="3"/>
    <x v="2"/>
    <n v="733.66"/>
    <n v="47"/>
    <x v="2"/>
    <n v="4729.59"/>
    <n v="4976.68"/>
    <x v="0"/>
    <n v="0.18"/>
    <s v="Credit Card"/>
    <x v="1"/>
    <s v="South-Eve"/>
    <x v="3"/>
    <n v="8"/>
    <n v="2023"/>
  </r>
  <r>
    <n v="1094"/>
    <d v="2023-12-05T00:00:00"/>
    <x v="3"/>
    <x v="3"/>
    <n v="8264.9599999999991"/>
    <n v="12"/>
    <x v="0"/>
    <n v="333.32"/>
    <n v="700.25"/>
    <x v="0"/>
    <n v="0.14000000000000001"/>
    <s v="Cash"/>
    <x v="0"/>
    <s v="East-Eve"/>
    <x v="9"/>
    <n v="12"/>
    <n v="2023"/>
  </r>
  <r>
    <n v="1062"/>
    <d v="2023-09-21T00:00:00"/>
    <x v="1"/>
    <x v="0"/>
    <n v="2994.59"/>
    <n v="37"/>
    <x v="3"/>
    <n v="4658.4399999999996"/>
    <n v="4823.5"/>
    <x v="0"/>
    <n v="0.14000000000000001"/>
    <s v="Credit Card"/>
    <x v="0"/>
    <s v="North-David"/>
    <x v="2"/>
    <n v="9"/>
    <n v="2023"/>
  </r>
  <r>
    <n v="1069"/>
    <d v="2023-05-29T00:00:00"/>
    <x v="4"/>
    <x v="0"/>
    <n v="4494.8"/>
    <n v="30"/>
    <x v="3"/>
    <n v="300.01"/>
    <n v="477.67999999999898"/>
    <x v="1"/>
    <n v="0.11"/>
    <s v="Bank Transfer"/>
    <x v="1"/>
    <s v="North-Alice"/>
    <x v="10"/>
    <n v="5"/>
    <n v="2023"/>
  </r>
  <r>
    <n v="1076"/>
    <d v="2023-03-22T00:00:00"/>
    <x v="2"/>
    <x v="2"/>
    <n v="316.94"/>
    <n v="23"/>
    <x v="1"/>
    <n v="2759.16"/>
    <n v="2864.45"/>
    <x v="0"/>
    <n v="0.18"/>
    <s v="Credit Card"/>
    <x v="1"/>
    <s v="South-Charlie"/>
    <x v="4"/>
    <n v="3"/>
    <n v="2023"/>
  </r>
  <r>
    <n v="1016"/>
    <d v="2023-08-03T00:00:00"/>
    <x v="4"/>
    <x v="1"/>
    <n v="3080.36"/>
    <n v="16"/>
    <x v="0"/>
    <n v="4457.68"/>
    <n v="4743.03"/>
    <x v="0"/>
    <n v="0.19"/>
    <s v="Cash"/>
    <x v="0"/>
    <s v="West-Alice"/>
    <x v="3"/>
    <n v="8"/>
    <n v="2023"/>
  </r>
  <r>
    <n v="1090"/>
    <d v="2023-07-17T00:00:00"/>
    <x v="1"/>
    <x v="0"/>
    <n v="5076.05"/>
    <n v="14"/>
    <x v="3"/>
    <n v="1350.47"/>
    <n v="1514.61"/>
    <x v="1"/>
    <n v="0.2"/>
    <s v="Credit Card"/>
    <x v="1"/>
    <s v="North-David"/>
    <x v="11"/>
    <n v="7"/>
    <n v="2023"/>
  </r>
  <r>
    <n v="1090"/>
    <d v="2023-07-19T00:00:00"/>
    <x v="2"/>
    <x v="1"/>
    <n v="656.14"/>
    <n v="10"/>
    <x v="0"/>
    <n v="2387.63"/>
    <n v="2438.9699999999998"/>
    <x v="0"/>
    <n v="0.02"/>
    <s v="Bank Transfer"/>
    <x v="1"/>
    <s v="West-Charlie"/>
    <x v="11"/>
    <n v="7"/>
    <n v="2023"/>
  </r>
  <r>
    <n v="1048"/>
    <d v="2023-01-25T00:00:00"/>
    <x v="3"/>
    <x v="2"/>
    <n v="4961.8500000000004"/>
    <n v="7"/>
    <x v="3"/>
    <n v="1655.43"/>
    <n v="2001.08"/>
    <x v="1"/>
    <n v="0.19"/>
    <s v="Bank Transfer"/>
    <x v="0"/>
    <s v="South-Eve"/>
    <x v="5"/>
    <n v="1"/>
    <n v="2023"/>
  </r>
  <r>
    <n v="1085"/>
    <d v="2023-03-30T00:00:00"/>
    <x v="1"/>
    <x v="1"/>
    <n v="9278.4"/>
    <n v="45"/>
    <x v="2"/>
    <n v="4763.1099999999997"/>
    <n v="5119.91"/>
    <x v="0"/>
    <n v="0.28999999999999998"/>
    <s v="Cash"/>
    <x v="1"/>
    <s v="West-David"/>
    <x v="4"/>
    <n v="3"/>
    <n v="2023"/>
  </r>
  <r>
    <n v="1039"/>
    <d v="2023-09-25T00:00:00"/>
    <x v="3"/>
    <x v="1"/>
    <n v="1143.3900000000001"/>
    <n v="37"/>
    <x v="3"/>
    <n v="4127.05"/>
    <n v="4313.45"/>
    <x v="1"/>
    <n v="0.16"/>
    <s v="Cash"/>
    <x v="0"/>
    <s v="West-Eve"/>
    <x v="2"/>
    <n v="9"/>
    <n v="2023"/>
  </r>
  <r>
    <n v="1100"/>
    <d v="2023-05-23T00:00:00"/>
    <x v="0"/>
    <x v="1"/>
    <n v="7667.96"/>
    <n v="29"/>
    <x v="1"/>
    <n v="3559.56"/>
    <n v="3607.15"/>
    <x v="0"/>
    <n v="0.21"/>
    <s v="Cash"/>
    <x v="1"/>
    <s v="West-Bob"/>
    <x v="10"/>
    <n v="5"/>
    <n v="2023"/>
  </r>
  <r>
    <n v="1033"/>
    <d v="2023-02-28T00:00:00"/>
    <x v="1"/>
    <x v="1"/>
    <n v="4155.74"/>
    <n v="3"/>
    <x v="2"/>
    <n v="2958.75"/>
    <n v="3177.64"/>
    <x v="0"/>
    <n v="0.17"/>
    <s v="Cash"/>
    <x v="0"/>
    <s v="West-David"/>
    <x v="0"/>
    <n v="2"/>
    <n v="2023"/>
  </r>
  <r>
    <n v="1094"/>
    <d v="2023-12-31T00:00:00"/>
    <x v="0"/>
    <x v="2"/>
    <n v="6586.22"/>
    <n v="15"/>
    <x v="1"/>
    <n v="4111.93"/>
    <n v="4338.67"/>
    <x v="0"/>
    <n v="0.26"/>
    <s v="Credit Card"/>
    <x v="0"/>
    <s v="South-Bob"/>
    <x v="9"/>
    <n v="12"/>
    <n v="2023"/>
  </r>
  <r>
    <n v="1023"/>
    <d v="2023-01-26T00:00:00"/>
    <x v="1"/>
    <x v="0"/>
    <n v="2676.34"/>
    <n v="36"/>
    <x v="2"/>
    <n v="1991.72"/>
    <n v="2329.37"/>
    <x v="1"/>
    <n v="0.28000000000000003"/>
    <s v="Credit Card"/>
    <x v="1"/>
    <s v="North-David"/>
    <x v="5"/>
    <n v="1"/>
    <n v="2023"/>
  </r>
  <r>
    <n v="1010"/>
    <d v="2023-02-16T00:00:00"/>
    <x v="1"/>
    <x v="3"/>
    <n v="1678.97"/>
    <n v="47"/>
    <x v="0"/>
    <n v="2265.38"/>
    <n v="2429.9299999999998"/>
    <x v="0"/>
    <n v="0.06"/>
    <s v="Bank Transfer"/>
    <x v="0"/>
    <s v="East-David"/>
    <x v="0"/>
    <n v="2"/>
    <n v="2023"/>
  </r>
  <r>
    <n v="1069"/>
    <d v="2023-10-15T00:00:00"/>
    <x v="0"/>
    <x v="1"/>
    <n v="1688.58"/>
    <n v="46"/>
    <x v="1"/>
    <n v="3663.51"/>
    <n v="4007.98"/>
    <x v="1"/>
    <n v="0.13"/>
    <s v="Cash"/>
    <x v="0"/>
    <s v="West-Bob"/>
    <x v="7"/>
    <n v="10"/>
    <n v="2023"/>
  </r>
  <r>
    <n v="1100"/>
    <d v="2023-09-23T00:00:00"/>
    <x v="2"/>
    <x v="0"/>
    <n v="797.87"/>
    <n v="19"/>
    <x v="3"/>
    <n v="1820.89"/>
    <n v="2257.92"/>
    <x v="1"/>
    <n v="0.12"/>
    <s v="Cash"/>
    <x v="1"/>
    <s v="North-Charlie"/>
    <x v="2"/>
    <n v="9"/>
    <n v="2023"/>
  </r>
  <r>
    <n v="1034"/>
    <d v="2023-01-16T00:00:00"/>
    <x v="4"/>
    <x v="0"/>
    <n v="1937.9"/>
    <n v="13"/>
    <x v="0"/>
    <n v="366.31"/>
    <n v="492.68"/>
    <x v="1"/>
    <n v="0.12"/>
    <s v="Credit Card"/>
    <x v="1"/>
    <s v="North-Alice"/>
    <x v="5"/>
    <n v="1"/>
    <n v="2023"/>
  </r>
  <r>
    <n v="1052"/>
    <d v="2023-07-18T00:00:00"/>
    <x v="3"/>
    <x v="2"/>
    <n v="6675.77"/>
    <n v="42"/>
    <x v="3"/>
    <n v="417.96"/>
    <n v="907.63"/>
    <x v="1"/>
    <n v="0.04"/>
    <s v="Cash"/>
    <x v="1"/>
    <s v="South-Eve"/>
    <x v="11"/>
    <n v="7"/>
    <n v="2023"/>
  </r>
  <r>
    <n v="1095"/>
    <d v="2023-10-09T00:00:00"/>
    <x v="1"/>
    <x v="0"/>
    <n v="8828.74"/>
    <n v="21"/>
    <x v="2"/>
    <n v="621.04999999999995"/>
    <n v="820.36999999999898"/>
    <x v="0"/>
    <n v="0.24"/>
    <s v="Bank Transfer"/>
    <x v="0"/>
    <s v="North-David"/>
    <x v="7"/>
    <n v="10"/>
    <n v="2023"/>
  </r>
  <r>
    <n v="1010"/>
    <d v="2023-03-27T00:00:00"/>
    <x v="3"/>
    <x v="2"/>
    <n v="8159.84"/>
    <n v="37"/>
    <x v="2"/>
    <n v="4354.92"/>
    <n v="4495.88"/>
    <x v="0"/>
    <n v="0.01"/>
    <s v="Bank Transfer"/>
    <x v="0"/>
    <s v="South-Eve"/>
    <x v="4"/>
    <n v="3"/>
    <n v="2023"/>
  </r>
  <r>
    <n v="1019"/>
    <d v="2023-09-07T00:00:00"/>
    <x v="0"/>
    <x v="1"/>
    <n v="6882.83"/>
    <n v="27"/>
    <x v="3"/>
    <n v="2387.52"/>
    <n v="2604.06"/>
    <x v="0"/>
    <n v="0.16"/>
    <s v="Cash"/>
    <x v="0"/>
    <s v="West-Bob"/>
    <x v="2"/>
    <n v="9"/>
    <n v="2023"/>
  </r>
  <r>
    <n v="1058"/>
    <d v="2023-09-27T00:00:00"/>
    <x v="3"/>
    <x v="1"/>
    <n v="1193.28"/>
    <n v="29"/>
    <x v="3"/>
    <n v="3578.77"/>
    <n v="3635.02"/>
    <x v="1"/>
    <n v="0.2"/>
    <s v="Bank Transfer"/>
    <x v="1"/>
    <s v="West-Eve"/>
    <x v="2"/>
    <n v="9"/>
    <n v="2023"/>
  </r>
  <r>
    <n v="1096"/>
    <d v="2023-12-01T00:00:00"/>
    <x v="0"/>
    <x v="3"/>
    <n v="2962.96"/>
    <n v="20"/>
    <x v="0"/>
    <n v="1994.9"/>
    <n v="2066.5"/>
    <x v="0"/>
    <n v="0.06"/>
    <s v="Bank Transfer"/>
    <x v="0"/>
    <s v="East-Bob"/>
    <x v="9"/>
    <n v="12"/>
    <n v="2023"/>
  </r>
  <r>
    <n v="1001"/>
    <d v="2023-04-27T00:00:00"/>
    <x v="3"/>
    <x v="3"/>
    <n v="3167.09"/>
    <n v="25"/>
    <x v="3"/>
    <n v="1330.62"/>
    <n v="1543.6899999999901"/>
    <x v="1"/>
    <n v="0.27"/>
    <s v="Credit Card"/>
    <x v="0"/>
    <s v="East-Eve"/>
    <x v="1"/>
    <n v="4"/>
    <n v="2023"/>
  </r>
  <r>
    <n v="1069"/>
    <d v="2023-01-07T00:00:00"/>
    <x v="4"/>
    <x v="3"/>
    <n v="2574.5700000000002"/>
    <n v="6"/>
    <x v="1"/>
    <n v="1768.6"/>
    <n v="2152.1999999999998"/>
    <x v="1"/>
    <n v="0.25"/>
    <s v="Bank Transfer"/>
    <x v="1"/>
    <s v="East-Alice"/>
    <x v="5"/>
    <n v="1"/>
    <n v="2023"/>
  </r>
  <r>
    <n v="1004"/>
    <d v="2023-05-17T00:00:00"/>
    <x v="4"/>
    <x v="0"/>
    <n v="5198.5600000000004"/>
    <n v="36"/>
    <x v="1"/>
    <n v="3981.2"/>
    <n v="4432.3499999999904"/>
    <x v="1"/>
    <n v="0.14000000000000001"/>
    <s v="Cash"/>
    <x v="0"/>
    <s v="North-Alice"/>
    <x v="10"/>
    <n v="5"/>
    <n v="2023"/>
  </r>
  <r>
    <n v="1016"/>
    <d v="2023-06-25T00:00:00"/>
    <x v="4"/>
    <x v="1"/>
    <n v="5401.98"/>
    <n v="2"/>
    <x v="3"/>
    <n v="3144.82"/>
    <n v="3480.58"/>
    <x v="0"/>
    <n v="0.12"/>
    <s v="Cash"/>
    <x v="1"/>
    <s v="West-Alice"/>
    <x v="6"/>
    <n v="6"/>
    <n v="2023"/>
  </r>
  <r>
    <n v="1024"/>
    <d v="2023-11-24T00:00:00"/>
    <x v="4"/>
    <x v="2"/>
    <n v="3633.17"/>
    <n v="22"/>
    <x v="1"/>
    <n v="4691.32"/>
    <n v="4752.88"/>
    <x v="0"/>
    <n v="7.0000000000000007E-2"/>
    <s v="Bank Transfer"/>
    <x v="1"/>
    <s v="South-Alice"/>
    <x v="8"/>
    <n v="11"/>
    <n v="2023"/>
  </r>
  <r>
    <n v="1080"/>
    <d v="2023-11-11T00:00:00"/>
    <x v="4"/>
    <x v="3"/>
    <n v="3602.51"/>
    <n v="32"/>
    <x v="3"/>
    <n v="3414.54"/>
    <n v="3753.83"/>
    <x v="1"/>
    <n v="0.22"/>
    <s v="Cash"/>
    <x v="1"/>
    <s v="East-Alice"/>
    <x v="8"/>
    <n v="11"/>
    <n v="2023"/>
  </r>
  <r>
    <n v="1002"/>
    <d v="2023-08-03T00:00:00"/>
    <x v="4"/>
    <x v="2"/>
    <n v="8302.7000000000007"/>
    <n v="16"/>
    <x v="0"/>
    <n v="2872.4"/>
    <n v="3193.76"/>
    <x v="0"/>
    <n v="0.04"/>
    <s v="Credit Card"/>
    <x v="0"/>
    <s v="South-Alice"/>
    <x v="3"/>
    <n v="8"/>
    <n v="2023"/>
  </r>
  <r>
    <n v="1092"/>
    <d v="2023-03-23T00:00:00"/>
    <x v="0"/>
    <x v="2"/>
    <n v="7914"/>
    <n v="18"/>
    <x v="1"/>
    <n v="3070.47"/>
    <n v="3475.29"/>
    <x v="0"/>
    <n v="0.2"/>
    <s v="Bank Transfer"/>
    <x v="0"/>
    <s v="South-Bob"/>
    <x v="4"/>
    <n v="3"/>
    <n v="2023"/>
  </r>
  <r>
    <n v="1032"/>
    <d v="2023-08-11T00:00:00"/>
    <x v="1"/>
    <x v="3"/>
    <n v="3147.18"/>
    <n v="5"/>
    <x v="1"/>
    <n v="4714.74"/>
    <n v="5129.1099999999997"/>
    <x v="1"/>
    <n v="0.25"/>
    <s v="Bank Transfer"/>
    <x v="0"/>
    <s v="East-David"/>
    <x v="3"/>
    <n v="8"/>
    <n v="2023"/>
  </r>
  <r>
    <n v="1091"/>
    <d v="2023-04-13T00:00:00"/>
    <x v="3"/>
    <x v="1"/>
    <n v="9146.51"/>
    <n v="36"/>
    <x v="3"/>
    <n v="3951.59"/>
    <n v="4387.01"/>
    <x v="1"/>
    <n v="7.0000000000000007E-2"/>
    <s v="Bank Transfer"/>
    <x v="1"/>
    <s v="West-Eve"/>
    <x v="1"/>
    <n v="4"/>
    <n v="2023"/>
  </r>
  <r>
    <n v="1084"/>
    <d v="2023-09-30T00:00:00"/>
    <x v="4"/>
    <x v="3"/>
    <n v="9532.8700000000008"/>
    <n v="30"/>
    <x v="1"/>
    <n v="169"/>
    <n v="381.91999999999899"/>
    <x v="0"/>
    <n v="0.26"/>
    <s v="Cash"/>
    <x v="1"/>
    <s v="East-Alice"/>
    <x v="2"/>
    <n v="9"/>
    <n v="2023"/>
  </r>
  <r>
    <n v="1024"/>
    <d v="2023-01-14T00:00:00"/>
    <x v="0"/>
    <x v="2"/>
    <n v="3334.75"/>
    <n v="45"/>
    <x v="2"/>
    <n v="2693.99"/>
    <n v="3045.9399999999901"/>
    <x v="1"/>
    <n v="0.01"/>
    <s v="Cash"/>
    <x v="1"/>
    <s v="South-Bob"/>
    <x v="5"/>
    <n v="1"/>
    <n v="2023"/>
  </r>
  <r>
    <n v="1012"/>
    <d v="2023-06-08T00:00:00"/>
    <x v="0"/>
    <x v="3"/>
    <n v="3608.81"/>
    <n v="19"/>
    <x v="0"/>
    <n v="3457.28"/>
    <n v="3598.72"/>
    <x v="1"/>
    <n v="0.27"/>
    <s v="Bank Transfer"/>
    <x v="0"/>
    <s v="East-Bob"/>
    <x v="6"/>
    <n v="6"/>
    <n v="2023"/>
  </r>
  <r>
    <n v="1050"/>
    <d v="2023-06-01T00:00:00"/>
    <x v="0"/>
    <x v="2"/>
    <n v="5105.78"/>
    <n v="23"/>
    <x v="0"/>
    <n v="3756.06"/>
    <n v="4255.7299999999996"/>
    <x v="0"/>
    <n v="0.04"/>
    <s v="Cash"/>
    <x v="0"/>
    <s v="South-Bob"/>
    <x v="6"/>
    <n v="6"/>
    <n v="2023"/>
  </r>
  <r>
    <n v="1035"/>
    <d v="2023-04-18T00:00:00"/>
    <x v="1"/>
    <x v="2"/>
    <n v="9417.1"/>
    <n v="34"/>
    <x v="1"/>
    <n v="1105.05"/>
    <n v="1200.96"/>
    <x v="0"/>
    <n v="0.19"/>
    <s v="Cash"/>
    <x v="0"/>
    <s v="South-David"/>
    <x v="1"/>
    <n v="4"/>
    <n v="2023"/>
  </r>
  <r>
    <n v="1033"/>
    <d v="2023-07-07T00:00:00"/>
    <x v="3"/>
    <x v="3"/>
    <n v="8775.56"/>
    <n v="13"/>
    <x v="1"/>
    <n v="4342.53"/>
    <n v="4357.49"/>
    <x v="1"/>
    <n v="0.08"/>
    <s v="Bank Transfer"/>
    <x v="0"/>
    <s v="East-Eve"/>
    <x v="11"/>
    <n v="7"/>
    <n v="2023"/>
  </r>
  <r>
    <n v="1033"/>
    <d v="2023-10-28T00:00:00"/>
    <x v="1"/>
    <x v="0"/>
    <n v="1115.42"/>
    <n v="43"/>
    <x v="2"/>
    <n v="4781.42"/>
    <n v="4864.34"/>
    <x v="0"/>
    <n v="0.25"/>
    <s v="Bank Transfer"/>
    <x v="0"/>
    <s v="North-David"/>
    <x v="7"/>
    <n v="10"/>
    <n v="2023"/>
  </r>
  <r>
    <n v="1061"/>
    <d v="2023-04-08T00:00:00"/>
    <x v="2"/>
    <x v="3"/>
    <n v="3988.03"/>
    <n v="29"/>
    <x v="2"/>
    <n v="1221.74"/>
    <n v="1611.92"/>
    <x v="1"/>
    <n v="0.15"/>
    <s v="Cash"/>
    <x v="1"/>
    <s v="East-Charlie"/>
    <x v="1"/>
    <n v="4"/>
    <n v="2023"/>
  </r>
  <r>
    <n v="1051"/>
    <d v="2023-05-11T00:00:00"/>
    <x v="0"/>
    <x v="0"/>
    <n v="5578.37"/>
    <n v="36"/>
    <x v="1"/>
    <n v="4418.95"/>
    <n v="4647.87"/>
    <x v="1"/>
    <n v="0.04"/>
    <s v="Bank Transfer"/>
    <x v="0"/>
    <s v="North-Bob"/>
    <x v="10"/>
    <n v="5"/>
    <n v="2023"/>
  </r>
  <r>
    <n v="1043"/>
    <d v="2023-10-20T00:00:00"/>
    <x v="2"/>
    <x v="2"/>
    <n v="5081.01"/>
    <n v="22"/>
    <x v="1"/>
    <n v="530.04"/>
    <n v="759.31999999999903"/>
    <x v="0"/>
    <n v="0.17"/>
    <s v="Bank Transfer"/>
    <x v="1"/>
    <s v="South-Charlie"/>
    <x v="7"/>
    <n v="10"/>
    <n v="2023"/>
  </r>
  <r>
    <n v="1012"/>
    <d v="2023-06-20T00:00:00"/>
    <x v="4"/>
    <x v="2"/>
    <n v="2019.24"/>
    <n v="47"/>
    <x v="2"/>
    <n v="325.75"/>
    <n v="803.71"/>
    <x v="1"/>
    <n v="0.12"/>
    <s v="Bank Transfer"/>
    <x v="1"/>
    <s v="South-Alice"/>
    <x v="6"/>
    <n v="6"/>
    <n v="2023"/>
  </r>
  <r>
    <n v="1067"/>
    <d v="2023-07-02T00:00:00"/>
    <x v="4"/>
    <x v="0"/>
    <n v="8602.2900000000009"/>
    <n v="36"/>
    <x v="3"/>
    <n v="689.66"/>
    <n v="1150.28"/>
    <x v="1"/>
    <n v="0.2"/>
    <s v="Bank Transfer"/>
    <x v="0"/>
    <s v="North-Alice"/>
    <x v="11"/>
    <n v="7"/>
    <n v="2023"/>
  </r>
  <r>
    <n v="1065"/>
    <d v="2023-12-30T00:00:00"/>
    <x v="1"/>
    <x v="2"/>
    <n v="6801.71"/>
    <n v="9"/>
    <x v="2"/>
    <n v="335.82"/>
    <n v="498.31"/>
    <x v="1"/>
    <n v="0.26"/>
    <s v="Cash"/>
    <x v="1"/>
    <s v="South-David"/>
    <x v="9"/>
    <n v="12"/>
    <n v="2023"/>
  </r>
  <r>
    <n v="1033"/>
    <d v="2023-02-08T00:00:00"/>
    <x v="3"/>
    <x v="0"/>
    <n v="8395.2900000000009"/>
    <n v="39"/>
    <x v="3"/>
    <n v="4232.8100000000004"/>
    <n v="4345.25"/>
    <x v="0"/>
    <n v="0.12"/>
    <s v="Bank Transfer"/>
    <x v="0"/>
    <s v="North-Eve"/>
    <x v="0"/>
    <n v="2"/>
    <n v="2023"/>
  </r>
  <r>
    <n v="1040"/>
    <d v="2023-01-15T00:00:00"/>
    <x v="2"/>
    <x v="0"/>
    <n v="8601.77"/>
    <n v="19"/>
    <x v="0"/>
    <n v="342.3"/>
    <n v="768.06"/>
    <x v="0"/>
    <n v="0.09"/>
    <s v="Credit Card"/>
    <x v="0"/>
    <s v="North-Charlie"/>
    <x v="5"/>
    <n v="1"/>
    <n v="2023"/>
  </r>
  <r>
    <n v="1074"/>
    <d v="2023-01-04T00:00:00"/>
    <x v="3"/>
    <x v="2"/>
    <n v="7508.72"/>
    <n v="38"/>
    <x v="0"/>
    <n v="1394.74"/>
    <n v="1848.69"/>
    <x v="0"/>
    <n v="0"/>
    <s v="Bank Transfer"/>
    <x v="1"/>
    <s v="South-Eve"/>
    <x v="5"/>
    <n v="1"/>
    <n v="2023"/>
  </r>
  <r>
    <n v="1043"/>
    <d v="2023-12-15T00:00:00"/>
    <x v="1"/>
    <x v="1"/>
    <n v="4448.18"/>
    <n v="6"/>
    <x v="2"/>
    <n v="563.59"/>
    <n v="838.97"/>
    <x v="1"/>
    <n v="0.17"/>
    <s v="Credit Card"/>
    <x v="0"/>
    <s v="West-David"/>
    <x v="9"/>
    <n v="12"/>
    <n v="2023"/>
  </r>
  <r>
    <n v="1044"/>
    <d v="2023-07-29T00:00:00"/>
    <x v="4"/>
    <x v="0"/>
    <n v="6144.41"/>
    <n v="47"/>
    <x v="3"/>
    <n v="1512.34"/>
    <n v="1830.76"/>
    <x v="1"/>
    <n v="0.12"/>
    <s v="Bank Transfer"/>
    <x v="0"/>
    <s v="North-Alice"/>
    <x v="11"/>
    <n v="7"/>
    <n v="2023"/>
  </r>
  <r>
    <n v="1029"/>
    <d v="2023-06-10T00:00:00"/>
    <x v="3"/>
    <x v="3"/>
    <n v="1687.62"/>
    <n v="15"/>
    <x v="2"/>
    <n v="498.27"/>
    <n v="634.16"/>
    <x v="0"/>
    <n v="0.11"/>
    <s v="Credit Card"/>
    <x v="1"/>
    <s v="East-Eve"/>
    <x v="6"/>
    <n v="6"/>
    <n v="2023"/>
  </r>
  <r>
    <n v="1013"/>
    <d v="2023-01-16T00:00:00"/>
    <x v="3"/>
    <x v="3"/>
    <n v="6769.09"/>
    <n v="20"/>
    <x v="2"/>
    <n v="3356.62"/>
    <n v="3759.0099999999902"/>
    <x v="0"/>
    <n v="0.05"/>
    <s v="Credit Card"/>
    <x v="1"/>
    <s v="East-Eve"/>
    <x v="5"/>
    <n v="1"/>
    <n v="2023"/>
  </r>
  <r>
    <n v="1012"/>
    <d v="2023-04-18T00:00:00"/>
    <x v="4"/>
    <x v="2"/>
    <n v="1874.61"/>
    <n v="9"/>
    <x v="3"/>
    <n v="709.97"/>
    <n v="1029.71"/>
    <x v="0"/>
    <n v="0.13"/>
    <s v="Bank Transfer"/>
    <x v="1"/>
    <s v="South-Alice"/>
    <x v="1"/>
    <n v="4"/>
    <n v="2023"/>
  </r>
  <r>
    <n v="1095"/>
    <d v="2023-11-07T00:00:00"/>
    <x v="2"/>
    <x v="1"/>
    <n v="6970.1"/>
    <n v="32"/>
    <x v="2"/>
    <n v="4266.6400000000003"/>
    <n v="4523.3599999999997"/>
    <x v="1"/>
    <n v="0.3"/>
    <s v="Bank Transfer"/>
    <x v="1"/>
    <s v="West-Charlie"/>
    <x v="8"/>
    <n v="11"/>
    <n v="2023"/>
  </r>
  <r>
    <n v="1046"/>
    <d v="2023-08-15T00:00:00"/>
    <x v="4"/>
    <x v="2"/>
    <n v="2373.02"/>
    <n v="4"/>
    <x v="0"/>
    <n v="4095.1"/>
    <n v="4134.55"/>
    <x v="0"/>
    <n v="0.09"/>
    <s v="Bank Transfer"/>
    <x v="1"/>
    <s v="South-Alice"/>
    <x v="3"/>
    <n v="8"/>
    <n v="2023"/>
  </r>
  <r>
    <n v="1002"/>
    <d v="2023-06-19T00:00:00"/>
    <x v="3"/>
    <x v="1"/>
    <n v="1263.76"/>
    <n v="18"/>
    <x v="1"/>
    <n v="117.63"/>
    <n v="576.44000000000005"/>
    <x v="1"/>
    <n v="0.18"/>
    <s v="Credit Card"/>
    <x v="1"/>
    <s v="West-Eve"/>
    <x v="6"/>
    <n v="6"/>
    <n v="2023"/>
  </r>
  <r>
    <n v="1035"/>
    <d v="2023-02-03T00:00:00"/>
    <x v="2"/>
    <x v="0"/>
    <n v="1736.32"/>
    <n v="5"/>
    <x v="1"/>
    <n v="4483.8500000000004"/>
    <n v="4795.42"/>
    <x v="0"/>
    <n v="0.23"/>
    <s v="Cash"/>
    <x v="0"/>
    <s v="North-Charlie"/>
    <x v="0"/>
    <n v="2"/>
    <n v="2023"/>
  </r>
  <r>
    <n v="1087"/>
    <d v="2023-09-08T00:00:00"/>
    <x v="2"/>
    <x v="0"/>
    <n v="119.72"/>
    <n v="20"/>
    <x v="2"/>
    <n v="193.27"/>
    <n v="297.69"/>
    <x v="1"/>
    <n v="0.22"/>
    <s v="Cash"/>
    <x v="0"/>
    <s v="North-Charlie"/>
    <x v="2"/>
    <n v="9"/>
    <n v="2023"/>
  </r>
  <r>
    <n v="1081"/>
    <d v="2023-09-04T00:00:00"/>
    <x v="4"/>
    <x v="0"/>
    <n v="7215.52"/>
    <n v="23"/>
    <x v="3"/>
    <n v="1236.25"/>
    <n v="1543.38"/>
    <x v="1"/>
    <n v="0.1"/>
    <s v="Bank Transfer"/>
    <x v="0"/>
    <s v="North-Alice"/>
    <x v="2"/>
    <n v="9"/>
    <n v="2023"/>
  </r>
  <r>
    <n v="1090"/>
    <d v="2023-09-26T00:00:00"/>
    <x v="3"/>
    <x v="0"/>
    <n v="7350.77"/>
    <n v="11"/>
    <x v="3"/>
    <n v="210.33"/>
    <n v="552.29"/>
    <x v="0"/>
    <n v="0.18"/>
    <s v="Cash"/>
    <x v="1"/>
    <s v="North-Eve"/>
    <x v="2"/>
    <n v="9"/>
    <n v="2023"/>
  </r>
  <r>
    <n v="1008"/>
    <d v="2023-05-21T00:00:00"/>
    <x v="1"/>
    <x v="3"/>
    <n v="5197.84"/>
    <n v="37"/>
    <x v="0"/>
    <n v="1712.43"/>
    <n v="1980.06"/>
    <x v="1"/>
    <n v="0.26"/>
    <s v="Cash"/>
    <x v="0"/>
    <s v="East-David"/>
    <x v="10"/>
    <n v="5"/>
    <n v="2023"/>
  </r>
  <r>
    <n v="1093"/>
    <d v="2023-10-01T00:00:00"/>
    <x v="3"/>
    <x v="3"/>
    <n v="1697.49"/>
    <n v="22"/>
    <x v="3"/>
    <n v="2593.64"/>
    <n v="2955.5099999999902"/>
    <x v="0"/>
    <n v="0"/>
    <s v="Bank Transfer"/>
    <x v="1"/>
    <s v="East-Eve"/>
    <x v="7"/>
    <n v="10"/>
    <n v="2023"/>
  </r>
  <r>
    <n v="1026"/>
    <d v="2023-04-06T00:00:00"/>
    <x v="0"/>
    <x v="2"/>
    <n v="927.19"/>
    <n v="4"/>
    <x v="3"/>
    <n v="3993.39"/>
    <n v="4288.3"/>
    <x v="1"/>
    <n v="0.13"/>
    <s v="Credit Card"/>
    <x v="0"/>
    <s v="South-Bob"/>
    <x v="1"/>
    <n v="4"/>
    <n v="2023"/>
  </r>
  <r>
    <n v="1074"/>
    <d v="2023-08-15T00:00:00"/>
    <x v="1"/>
    <x v="1"/>
    <n v="289.38"/>
    <n v="29"/>
    <x v="0"/>
    <n v="1723.01"/>
    <n v="2197.42"/>
    <x v="1"/>
    <n v="7.0000000000000007E-2"/>
    <s v="Bank Transfer"/>
    <x v="1"/>
    <s v="West-David"/>
    <x v="3"/>
    <n v="8"/>
    <n v="2023"/>
  </r>
  <r>
    <n v="1090"/>
    <d v="2023-02-08T00:00:00"/>
    <x v="2"/>
    <x v="0"/>
    <n v="1740.91"/>
    <n v="44"/>
    <x v="2"/>
    <n v="3542.18"/>
    <n v="3578.49"/>
    <x v="0"/>
    <n v="0.12"/>
    <s v="Cash"/>
    <x v="0"/>
    <s v="North-Charlie"/>
    <x v="0"/>
    <n v="2"/>
    <n v="2023"/>
  </r>
  <r>
    <n v="1034"/>
    <d v="2023-10-29T00:00:00"/>
    <x v="1"/>
    <x v="0"/>
    <n v="8919.4699999999993"/>
    <n v="34"/>
    <x v="1"/>
    <n v="978.15"/>
    <n v="1040.21"/>
    <x v="1"/>
    <n v="0.12"/>
    <s v="Credit Card"/>
    <x v="1"/>
    <s v="North-David"/>
    <x v="7"/>
    <n v="10"/>
    <n v="2023"/>
  </r>
  <r>
    <n v="1007"/>
    <d v="2023-01-29T00:00:00"/>
    <x v="2"/>
    <x v="1"/>
    <n v="2491.21"/>
    <n v="13"/>
    <x v="0"/>
    <n v="3765.46"/>
    <n v="3860.56"/>
    <x v="0"/>
    <n v="0.22"/>
    <s v="Cash"/>
    <x v="1"/>
    <s v="West-Charlie"/>
    <x v="5"/>
    <n v="1"/>
    <n v="2023"/>
  </r>
  <r>
    <n v="1068"/>
    <d v="2023-11-14T00:00:00"/>
    <x v="2"/>
    <x v="1"/>
    <n v="3607.29"/>
    <n v="42"/>
    <x v="2"/>
    <n v="1218.18"/>
    <n v="1566.36"/>
    <x v="0"/>
    <n v="0.03"/>
    <s v="Credit Card"/>
    <x v="1"/>
    <s v="West-Charlie"/>
    <x v="8"/>
    <n v="11"/>
    <n v="2023"/>
  </r>
  <r>
    <n v="1058"/>
    <d v="2023-09-02T00:00:00"/>
    <x v="1"/>
    <x v="2"/>
    <n v="1142.92"/>
    <n v="9"/>
    <x v="0"/>
    <n v="760.55"/>
    <n v="1086.8899999999901"/>
    <x v="0"/>
    <n v="0.15"/>
    <s v="Cash"/>
    <x v="1"/>
    <s v="South-David"/>
    <x v="2"/>
    <n v="9"/>
    <n v="2023"/>
  </r>
  <r>
    <n v="1075"/>
    <d v="2023-08-24T00:00:00"/>
    <x v="2"/>
    <x v="1"/>
    <n v="2301.38"/>
    <n v="42"/>
    <x v="2"/>
    <n v="967.77"/>
    <n v="1414.88"/>
    <x v="1"/>
    <n v="0.17"/>
    <s v="Bank Transfer"/>
    <x v="0"/>
    <s v="West-Charlie"/>
    <x v="3"/>
    <n v="8"/>
    <n v="2023"/>
  </r>
  <r>
    <n v="1029"/>
    <d v="2023-07-04T00:00:00"/>
    <x v="2"/>
    <x v="0"/>
    <n v="5240.32"/>
    <n v="31"/>
    <x v="0"/>
    <n v="951.21"/>
    <n v="1320.32"/>
    <x v="1"/>
    <n v="0.15"/>
    <s v="Cash"/>
    <x v="0"/>
    <s v="North-Charlie"/>
    <x v="11"/>
    <n v="7"/>
    <n v="2023"/>
  </r>
  <r>
    <n v="1036"/>
    <d v="2023-09-29T00:00:00"/>
    <x v="0"/>
    <x v="0"/>
    <n v="6116.75"/>
    <n v="7"/>
    <x v="2"/>
    <n v="2588.67"/>
    <n v="2847.76"/>
    <x v="1"/>
    <n v="0.22"/>
    <s v="Cash"/>
    <x v="1"/>
    <s v="North-Bob"/>
    <x v="2"/>
    <n v="9"/>
    <n v="2023"/>
  </r>
  <r>
    <n v="1089"/>
    <d v="2023-08-24T00:00:00"/>
    <x v="3"/>
    <x v="0"/>
    <n v="2528.9899999999998"/>
    <n v="4"/>
    <x v="0"/>
    <n v="4231.75"/>
    <n v="4727.75"/>
    <x v="0"/>
    <n v="0.12"/>
    <s v="Credit Card"/>
    <x v="1"/>
    <s v="North-Eve"/>
    <x v="3"/>
    <n v="8"/>
    <n v="2023"/>
  </r>
  <r>
    <n v="1021"/>
    <d v="2023-08-27T00:00:00"/>
    <x v="3"/>
    <x v="0"/>
    <n v="671.55"/>
    <n v="19"/>
    <x v="2"/>
    <n v="444.05"/>
    <n v="584.44000000000005"/>
    <x v="0"/>
    <n v="0.28000000000000003"/>
    <s v="Cash"/>
    <x v="1"/>
    <s v="North-Eve"/>
    <x v="3"/>
    <n v="8"/>
    <n v="2023"/>
  </r>
  <r>
    <n v="1036"/>
    <d v="2023-09-23T00:00:00"/>
    <x v="0"/>
    <x v="0"/>
    <n v="3971.23"/>
    <n v="42"/>
    <x v="0"/>
    <n v="3549.43"/>
    <n v="3967.6899999999901"/>
    <x v="1"/>
    <n v="0.14000000000000001"/>
    <s v="Bank Transfer"/>
    <x v="0"/>
    <s v="North-Bob"/>
    <x v="2"/>
    <n v="9"/>
    <n v="2023"/>
  </r>
  <r>
    <n v="1010"/>
    <d v="2023-12-25T00:00:00"/>
    <x v="1"/>
    <x v="2"/>
    <n v="2418.61"/>
    <n v="30"/>
    <x v="1"/>
    <n v="3289.01"/>
    <n v="3508.14"/>
    <x v="1"/>
    <n v="0.17"/>
    <s v="Bank Transfer"/>
    <x v="1"/>
    <s v="South-David"/>
    <x v="9"/>
    <n v="12"/>
    <n v="2023"/>
  </r>
  <r>
    <n v="1073"/>
    <d v="2023-12-06T00:00:00"/>
    <x v="4"/>
    <x v="0"/>
    <n v="2273.58"/>
    <n v="31"/>
    <x v="1"/>
    <n v="4368.97"/>
    <n v="4696.8500000000004"/>
    <x v="0"/>
    <n v="0.25"/>
    <s v="Bank Transfer"/>
    <x v="1"/>
    <s v="North-Alice"/>
    <x v="9"/>
    <n v="12"/>
    <n v="2023"/>
  </r>
  <r>
    <n v="1024"/>
    <d v="2023-03-06T00:00:00"/>
    <x v="4"/>
    <x v="2"/>
    <n v="9602.64"/>
    <n v="35"/>
    <x v="3"/>
    <n v="1258.53"/>
    <n v="1624.8899999999901"/>
    <x v="1"/>
    <n v="0.08"/>
    <s v="Credit Card"/>
    <x v="0"/>
    <s v="South-Alice"/>
    <x v="4"/>
    <n v="3"/>
    <n v="2023"/>
  </r>
  <r>
    <n v="1064"/>
    <d v="2023-06-26T00:00:00"/>
    <x v="4"/>
    <x v="0"/>
    <n v="6201.37"/>
    <n v="21"/>
    <x v="2"/>
    <n v="2278.04"/>
    <n v="2598.58"/>
    <x v="0"/>
    <n v="0.02"/>
    <s v="Credit Card"/>
    <x v="1"/>
    <s v="North-Alice"/>
    <x v="6"/>
    <n v="6"/>
    <n v="2023"/>
  </r>
  <r>
    <n v="1099"/>
    <d v="2023-01-03T00:00:00"/>
    <x v="0"/>
    <x v="3"/>
    <n v="5613.1"/>
    <n v="31"/>
    <x v="0"/>
    <n v="4632.8500000000004"/>
    <n v="4711.7"/>
    <x v="1"/>
    <n v="0.21"/>
    <s v="Cash"/>
    <x v="1"/>
    <s v="East-Bob"/>
    <x v="5"/>
    <n v="1"/>
    <n v="2023"/>
  </r>
  <r>
    <n v="1049"/>
    <d v="2023-05-22T00:00:00"/>
    <x v="0"/>
    <x v="3"/>
    <n v="4216.17"/>
    <n v="19"/>
    <x v="2"/>
    <n v="3316.97"/>
    <n v="3544.02"/>
    <x v="0"/>
    <n v="0.14000000000000001"/>
    <s v="Cash"/>
    <x v="0"/>
    <s v="East-Bob"/>
    <x v="10"/>
    <n v="5"/>
    <n v="2023"/>
  </r>
  <r>
    <n v="1099"/>
    <d v="2023-06-07T00:00:00"/>
    <x v="2"/>
    <x v="3"/>
    <n v="4346.55"/>
    <n v="31"/>
    <x v="1"/>
    <n v="1974.4"/>
    <n v="2259.5"/>
    <x v="1"/>
    <n v="0.27"/>
    <s v="Cash"/>
    <x v="1"/>
    <s v="East-Charlie"/>
    <x v="6"/>
    <n v="6"/>
    <n v="2023"/>
  </r>
  <r>
    <n v="1036"/>
    <d v="2023-11-20T00:00:00"/>
    <x v="4"/>
    <x v="3"/>
    <n v="5454.96"/>
    <n v="32"/>
    <x v="2"/>
    <n v="700.49"/>
    <n v="1126.52"/>
    <x v="1"/>
    <n v="0.28999999999999998"/>
    <s v="Credit Card"/>
    <x v="1"/>
    <s v="East-Alice"/>
    <x v="8"/>
    <n v="11"/>
    <n v="2023"/>
  </r>
  <r>
    <n v="1082"/>
    <d v="2023-05-26T00:00:00"/>
    <x v="1"/>
    <x v="2"/>
    <n v="6994.66"/>
    <n v="2"/>
    <x v="0"/>
    <n v="1349.3"/>
    <n v="1576.69"/>
    <x v="0"/>
    <n v="0.12"/>
    <s v="Credit Card"/>
    <x v="0"/>
    <s v="South-David"/>
    <x v="10"/>
    <n v="5"/>
    <n v="2023"/>
  </r>
  <r>
    <n v="1096"/>
    <d v="2023-10-20T00:00:00"/>
    <x v="1"/>
    <x v="2"/>
    <n v="7051.25"/>
    <n v="10"/>
    <x v="2"/>
    <n v="2927.02"/>
    <n v="3387.21"/>
    <x v="0"/>
    <n v="0.12"/>
    <s v="Cash"/>
    <x v="1"/>
    <s v="South-David"/>
    <x v="7"/>
    <n v="10"/>
    <n v="2023"/>
  </r>
  <r>
    <n v="1024"/>
    <d v="2023-06-02T00:00:00"/>
    <x v="4"/>
    <x v="1"/>
    <n v="1799.77"/>
    <n v="2"/>
    <x v="0"/>
    <n v="3604.93"/>
    <n v="3830.71"/>
    <x v="0"/>
    <n v="0.12"/>
    <s v="Credit Card"/>
    <x v="0"/>
    <s v="West-Alice"/>
    <x v="6"/>
    <n v="6"/>
    <n v="2023"/>
  </r>
  <r>
    <n v="1023"/>
    <d v="2023-07-12T00:00:00"/>
    <x v="4"/>
    <x v="0"/>
    <n v="5051.12"/>
    <n v="2"/>
    <x v="1"/>
    <n v="665.89"/>
    <n v="944.79"/>
    <x v="1"/>
    <n v="0.1"/>
    <s v="Credit Card"/>
    <x v="1"/>
    <s v="North-Alice"/>
    <x v="11"/>
    <n v="7"/>
    <n v="2023"/>
  </r>
  <r>
    <n v="1062"/>
    <d v="2023-03-14T00:00:00"/>
    <x v="4"/>
    <x v="3"/>
    <n v="4178.3900000000003"/>
    <n v="24"/>
    <x v="1"/>
    <n v="3018.01"/>
    <n v="3418.19"/>
    <x v="0"/>
    <n v="0.23"/>
    <s v="Bank Transfer"/>
    <x v="1"/>
    <s v="East-Alice"/>
    <x v="4"/>
    <n v="3"/>
    <n v="2023"/>
  </r>
  <r>
    <n v="1096"/>
    <d v="2023-11-01T00:00:00"/>
    <x v="0"/>
    <x v="2"/>
    <n v="8718.2199999999993"/>
    <n v="17"/>
    <x v="1"/>
    <n v="2774.24"/>
    <n v="3069.9399999999901"/>
    <x v="0"/>
    <n v="0.23"/>
    <s v="Bank Transfer"/>
    <x v="1"/>
    <s v="South-Bob"/>
    <x v="8"/>
    <n v="11"/>
    <n v="2023"/>
  </r>
  <r>
    <n v="1037"/>
    <d v="2023-12-10T00:00:00"/>
    <x v="0"/>
    <x v="0"/>
    <n v="6351.05"/>
    <n v="32"/>
    <x v="3"/>
    <n v="2594.08"/>
    <n v="3074.59"/>
    <x v="1"/>
    <n v="0.14000000000000001"/>
    <s v="Cash"/>
    <x v="1"/>
    <s v="North-Bob"/>
    <x v="9"/>
    <n v="12"/>
    <n v="2023"/>
  </r>
  <r>
    <n v="1012"/>
    <d v="2023-05-20T00:00:00"/>
    <x v="0"/>
    <x v="0"/>
    <n v="5371.79"/>
    <n v="16"/>
    <x v="1"/>
    <n v="3466.11"/>
    <n v="3799.67"/>
    <x v="0"/>
    <n v="0.01"/>
    <s v="Cash"/>
    <x v="1"/>
    <s v="North-Bob"/>
    <x v="10"/>
    <n v="5"/>
    <n v="2023"/>
  </r>
  <r>
    <n v="1055"/>
    <d v="2023-07-06T00:00:00"/>
    <x v="3"/>
    <x v="2"/>
    <n v="1242.4100000000001"/>
    <n v="16"/>
    <x v="2"/>
    <n v="4195.38"/>
    <n v="4461.51"/>
    <x v="0"/>
    <n v="0.09"/>
    <s v="Bank Transfer"/>
    <x v="0"/>
    <s v="South-Eve"/>
    <x v="11"/>
    <n v="7"/>
    <n v="2023"/>
  </r>
  <r>
    <n v="1013"/>
    <d v="2023-10-20T00:00:00"/>
    <x v="1"/>
    <x v="3"/>
    <n v="6095.82"/>
    <n v="46"/>
    <x v="3"/>
    <n v="1648.8"/>
    <n v="1670.36"/>
    <x v="0"/>
    <n v="0.09"/>
    <s v="Credit Card"/>
    <x v="1"/>
    <s v="East-David"/>
    <x v="7"/>
    <n v="10"/>
    <n v="2023"/>
  </r>
  <r>
    <n v="1023"/>
    <d v="2023-03-02T00:00:00"/>
    <x v="1"/>
    <x v="1"/>
    <n v="1260.32"/>
    <n v="39"/>
    <x v="1"/>
    <n v="4450.6099999999997"/>
    <n v="4663.3399999999901"/>
    <x v="1"/>
    <n v="0.24"/>
    <s v="Cash"/>
    <x v="1"/>
    <s v="West-David"/>
    <x v="4"/>
    <n v="3"/>
    <n v="2023"/>
  </r>
  <r>
    <n v="1089"/>
    <d v="2023-07-17T00:00:00"/>
    <x v="2"/>
    <x v="0"/>
    <n v="3438.35"/>
    <n v="31"/>
    <x v="2"/>
    <n v="845.14"/>
    <n v="1001.77"/>
    <x v="1"/>
    <n v="0.03"/>
    <s v="Cash"/>
    <x v="0"/>
    <s v="North-Charlie"/>
    <x v="11"/>
    <n v="7"/>
    <n v="2023"/>
  </r>
  <r>
    <n v="1099"/>
    <d v="2023-10-22T00:00:00"/>
    <x v="0"/>
    <x v="1"/>
    <n v="1514.14"/>
    <n v="43"/>
    <x v="2"/>
    <n v="906.47"/>
    <n v="1283.04"/>
    <x v="1"/>
    <n v="0.24"/>
    <s v="Cash"/>
    <x v="0"/>
    <s v="West-Bob"/>
    <x v="7"/>
    <n v="10"/>
    <n v="2023"/>
  </r>
  <r>
    <n v="1030"/>
    <d v="2023-11-15T00:00:00"/>
    <x v="3"/>
    <x v="3"/>
    <n v="6951.53"/>
    <n v="24"/>
    <x v="2"/>
    <n v="1370.52"/>
    <n v="1482.58"/>
    <x v="0"/>
    <n v="0.2"/>
    <s v="Credit Card"/>
    <x v="1"/>
    <s v="East-Eve"/>
    <x v="8"/>
    <n v="11"/>
    <n v="2023"/>
  </r>
  <r>
    <n v="1017"/>
    <d v="2023-10-29T00:00:00"/>
    <x v="3"/>
    <x v="3"/>
    <n v="2141.9"/>
    <n v="1"/>
    <x v="0"/>
    <n v="641.67999999999995"/>
    <n v="752.24"/>
    <x v="1"/>
    <n v="0.22"/>
    <s v="Bank Transfer"/>
    <x v="0"/>
    <s v="East-Eve"/>
    <x v="7"/>
    <n v="10"/>
    <n v="2023"/>
  </r>
  <r>
    <n v="1062"/>
    <d v="2023-12-10T00:00:00"/>
    <x v="1"/>
    <x v="1"/>
    <n v="3979.41"/>
    <n v="11"/>
    <x v="3"/>
    <n v="1190.08"/>
    <n v="1292.9399999999901"/>
    <x v="0"/>
    <n v="0.13"/>
    <s v="Cash"/>
    <x v="1"/>
    <s v="West-David"/>
    <x v="9"/>
    <n v="12"/>
    <n v="2023"/>
  </r>
  <r>
    <n v="1084"/>
    <d v="2023-01-11T00:00:00"/>
    <x v="0"/>
    <x v="3"/>
    <n v="8967.18"/>
    <n v="21"/>
    <x v="2"/>
    <n v="576.74"/>
    <n v="648.29"/>
    <x v="0"/>
    <n v="0.2"/>
    <s v="Bank Transfer"/>
    <x v="0"/>
    <s v="East-Bob"/>
    <x v="5"/>
    <n v="1"/>
    <n v="2023"/>
  </r>
  <r>
    <n v="1089"/>
    <d v="2023-03-03T00:00:00"/>
    <x v="2"/>
    <x v="0"/>
    <n v="2122.73"/>
    <n v="4"/>
    <x v="0"/>
    <n v="4117.67"/>
    <n v="4280.0600000000004"/>
    <x v="0"/>
    <n v="0.18"/>
    <s v="Bank Transfer"/>
    <x v="0"/>
    <s v="North-Charlie"/>
    <x v="4"/>
    <n v="3"/>
    <n v="2023"/>
  </r>
  <r>
    <n v="1086"/>
    <d v="2023-11-29T00:00:00"/>
    <x v="0"/>
    <x v="1"/>
    <n v="5127.2700000000004"/>
    <n v="7"/>
    <x v="1"/>
    <n v="737.9"/>
    <n v="1182"/>
    <x v="1"/>
    <n v="0.23"/>
    <s v="Credit Card"/>
    <x v="1"/>
    <s v="West-Bob"/>
    <x v="8"/>
    <n v="11"/>
    <n v="2023"/>
  </r>
  <r>
    <n v="1013"/>
    <d v="2023-08-14T00:00:00"/>
    <x v="4"/>
    <x v="3"/>
    <n v="4250.79"/>
    <n v="26"/>
    <x v="2"/>
    <n v="3749.12"/>
    <n v="4138.83"/>
    <x v="1"/>
    <n v="0.13"/>
    <s v="Credit Card"/>
    <x v="0"/>
    <s v="East-Alice"/>
    <x v="3"/>
    <n v="8"/>
    <n v="2023"/>
  </r>
  <r>
    <n v="1059"/>
    <d v="2023-06-02T00:00:00"/>
    <x v="0"/>
    <x v="1"/>
    <n v="279.43"/>
    <n v="47"/>
    <x v="0"/>
    <n v="287.17"/>
    <n v="657.44"/>
    <x v="0"/>
    <n v="0.14000000000000001"/>
    <s v="Credit Card"/>
    <x v="1"/>
    <s v="West-Bob"/>
    <x v="6"/>
    <n v="6"/>
    <n v="2023"/>
  </r>
  <r>
    <n v="1019"/>
    <d v="2023-07-18T00:00:00"/>
    <x v="4"/>
    <x v="0"/>
    <n v="7948.31"/>
    <n v="12"/>
    <x v="2"/>
    <n v="4745.18"/>
    <n v="5145.88"/>
    <x v="0"/>
    <n v="0.19"/>
    <s v="Credit Card"/>
    <x v="0"/>
    <s v="North-Alice"/>
    <x v="11"/>
    <n v="7"/>
    <n v="2023"/>
  </r>
  <r>
    <n v="1049"/>
    <d v="2023-02-21T00:00:00"/>
    <x v="4"/>
    <x v="3"/>
    <n v="783.55"/>
    <n v="31"/>
    <x v="3"/>
    <n v="3570.24"/>
    <n v="3712.25"/>
    <x v="1"/>
    <n v="0.03"/>
    <s v="Credit Card"/>
    <x v="0"/>
    <s v="East-Alice"/>
    <x v="0"/>
    <n v="2"/>
    <n v="2023"/>
  </r>
  <r>
    <n v="1100"/>
    <d v="2023-09-17T00:00:00"/>
    <x v="2"/>
    <x v="0"/>
    <n v="4795.12"/>
    <n v="17"/>
    <x v="3"/>
    <n v="83.64"/>
    <n v="528.49"/>
    <x v="1"/>
    <n v="0.13"/>
    <s v="Credit Card"/>
    <x v="0"/>
    <s v="North-Charlie"/>
    <x v="2"/>
    <n v="9"/>
    <n v="2023"/>
  </r>
  <r>
    <n v="1012"/>
    <d v="2023-02-28T00:00:00"/>
    <x v="1"/>
    <x v="3"/>
    <n v="5650.72"/>
    <n v="33"/>
    <x v="1"/>
    <n v="3831.09"/>
    <n v="3908.37"/>
    <x v="1"/>
    <n v="0.28999999999999998"/>
    <s v="Cash"/>
    <x v="1"/>
    <s v="East-David"/>
    <x v="0"/>
    <n v="2"/>
    <n v="2023"/>
  </r>
  <r>
    <n v="1061"/>
    <d v="2023-03-13T00:00:00"/>
    <x v="0"/>
    <x v="2"/>
    <n v="6321.42"/>
    <n v="11"/>
    <x v="2"/>
    <n v="2594.71"/>
    <n v="2769.52"/>
    <x v="0"/>
    <n v="0.01"/>
    <s v="Bank Transfer"/>
    <x v="1"/>
    <s v="South-Bob"/>
    <x v="4"/>
    <n v="3"/>
    <n v="2023"/>
  </r>
  <r>
    <n v="1019"/>
    <d v="2023-05-28T00:00:00"/>
    <x v="4"/>
    <x v="3"/>
    <n v="6917.45"/>
    <n v="28"/>
    <x v="0"/>
    <n v="3907.86"/>
    <n v="4205.37"/>
    <x v="1"/>
    <n v="0.09"/>
    <s v="Credit Card"/>
    <x v="0"/>
    <s v="East-Alice"/>
    <x v="10"/>
    <n v="5"/>
    <n v="2023"/>
  </r>
  <r>
    <n v="1076"/>
    <d v="2023-12-15T00:00:00"/>
    <x v="0"/>
    <x v="1"/>
    <n v="2607.4"/>
    <n v="32"/>
    <x v="1"/>
    <n v="2636.36"/>
    <n v="2696.78"/>
    <x v="1"/>
    <n v="0.09"/>
    <s v="Cash"/>
    <x v="1"/>
    <s v="West-Bob"/>
    <x v="9"/>
    <n v="12"/>
    <n v="2023"/>
  </r>
  <r>
    <n v="1009"/>
    <d v="2023-03-04T00:00:00"/>
    <x v="1"/>
    <x v="3"/>
    <n v="198.79"/>
    <n v="1"/>
    <x v="2"/>
    <n v="3223.07"/>
    <n v="3590.83"/>
    <x v="1"/>
    <n v="0.19"/>
    <s v="Bank Transfer"/>
    <x v="1"/>
    <s v="East-David"/>
    <x v="4"/>
    <n v="3"/>
    <n v="2023"/>
  </r>
  <r>
    <n v="1071"/>
    <d v="2023-11-06T00:00:00"/>
    <x v="1"/>
    <x v="0"/>
    <n v="7262.09"/>
    <n v="47"/>
    <x v="1"/>
    <n v="3942.34"/>
    <n v="4142.09"/>
    <x v="0"/>
    <n v="0.03"/>
    <s v="Credit Card"/>
    <x v="1"/>
    <s v="North-David"/>
    <x v="8"/>
    <n v="11"/>
    <n v="2023"/>
  </r>
  <r>
    <n v="1028"/>
    <d v="2023-08-31T00:00:00"/>
    <x v="3"/>
    <x v="0"/>
    <n v="5403"/>
    <n v="28"/>
    <x v="0"/>
    <n v="2055.2800000000002"/>
    <n v="2449.64"/>
    <x v="1"/>
    <n v="0.19"/>
    <s v="Credit Card"/>
    <x v="0"/>
    <s v="North-Eve"/>
    <x v="3"/>
    <n v="8"/>
    <n v="2023"/>
  </r>
  <r>
    <n v="1078"/>
    <d v="2024-01-01T00:00:00"/>
    <x v="1"/>
    <x v="3"/>
    <n v="8377.57"/>
    <n v="42"/>
    <x v="1"/>
    <n v="63.41"/>
    <n v="314.93"/>
    <x v="0"/>
    <n v="0.03"/>
    <s v="Cash"/>
    <x v="1"/>
    <s v="East-David"/>
    <x v="5"/>
    <n v="1"/>
    <n v="2024"/>
  </r>
  <r>
    <n v="1095"/>
    <d v="2023-11-26T00:00:00"/>
    <x v="2"/>
    <x v="1"/>
    <n v="8231.74"/>
    <n v="7"/>
    <x v="1"/>
    <n v="4257.24"/>
    <n v="4355.87"/>
    <x v="0"/>
    <n v="0.03"/>
    <s v="Bank Transfer"/>
    <x v="0"/>
    <s v="West-Charlie"/>
    <x v="8"/>
    <n v="11"/>
    <n v="2023"/>
  </r>
  <r>
    <n v="1052"/>
    <d v="2023-04-17T00:00:00"/>
    <x v="4"/>
    <x v="2"/>
    <n v="8448.93"/>
    <n v="2"/>
    <x v="1"/>
    <n v="1935.41"/>
    <n v="2305.44"/>
    <x v="0"/>
    <n v="0.22"/>
    <s v="Credit Card"/>
    <x v="0"/>
    <s v="South-Alice"/>
    <x v="1"/>
    <n v="4"/>
    <n v="2023"/>
  </r>
  <r>
    <n v="1083"/>
    <d v="2023-08-14T00:00:00"/>
    <x v="3"/>
    <x v="1"/>
    <n v="4902.4399999999996"/>
    <n v="42"/>
    <x v="2"/>
    <n v="2505.41"/>
    <n v="2638.96"/>
    <x v="1"/>
    <n v="0.1"/>
    <s v="Bank Transfer"/>
    <x v="0"/>
    <s v="West-Eve"/>
    <x v="3"/>
    <n v="8"/>
    <n v="2023"/>
  </r>
  <r>
    <n v="1016"/>
    <d v="2023-11-09T00:00:00"/>
    <x v="2"/>
    <x v="2"/>
    <n v="3402.92"/>
    <n v="24"/>
    <x v="0"/>
    <n v="88.44"/>
    <n v="338.94"/>
    <x v="1"/>
    <n v="0.28999999999999998"/>
    <s v="Cash"/>
    <x v="0"/>
    <s v="South-Charlie"/>
    <x v="8"/>
    <n v="11"/>
    <n v="2023"/>
  </r>
  <r>
    <n v="1069"/>
    <d v="2023-08-06T00:00:00"/>
    <x v="0"/>
    <x v="0"/>
    <n v="7936.43"/>
    <n v="4"/>
    <x v="3"/>
    <n v="2485.86"/>
    <n v="2532.87"/>
    <x v="1"/>
    <n v="0.01"/>
    <s v="Credit Card"/>
    <x v="0"/>
    <s v="North-Bob"/>
    <x v="3"/>
    <n v="8"/>
    <n v="2023"/>
  </r>
  <r>
    <n v="1099"/>
    <d v="2023-08-29T00:00:00"/>
    <x v="4"/>
    <x v="1"/>
    <n v="4567.8100000000004"/>
    <n v="44"/>
    <x v="2"/>
    <n v="4933.1099999999997"/>
    <n v="5245.86"/>
    <x v="0"/>
    <n v="0.13"/>
    <s v="Bank Transfer"/>
    <x v="1"/>
    <s v="West-Alice"/>
    <x v="3"/>
    <n v="8"/>
    <n v="2023"/>
  </r>
  <r>
    <n v="1012"/>
    <d v="2023-09-16T00:00:00"/>
    <x v="1"/>
    <x v="2"/>
    <n v="1916.08"/>
    <n v="19"/>
    <x v="3"/>
    <n v="1427.42"/>
    <n v="1763.69"/>
    <x v="1"/>
    <n v="0.03"/>
    <s v="Cash"/>
    <x v="1"/>
    <s v="South-David"/>
    <x v="2"/>
    <n v="9"/>
    <n v="2023"/>
  </r>
  <r>
    <n v="1025"/>
    <d v="2023-09-19T00:00:00"/>
    <x v="4"/>
    <x v="3"/>
    <n v="8564.24"/>
    <n v="26"/>
    <x v="3"/>
    <n v="2007.32"/>
    <n v="2202.87"/>
    <x v="0"/>
    <n v="0.11"/>
    <s v="Cash"/>
    <x v="0"/>
    <s v="East-Alice"/>
    <x v="2"/>
    <n v="9"/>
    <n v="2023"/>
  </r>
  <r>
    <n v="1052"/>
    <d v="2023-01-05T00:00:00"/>
    <x v="0"/>
    <x v="0"/>
    <n v="8837.34"/>
    <n v="11"/>
    <x v="2"/>
    <n v="3451.59"/>
    <n v="3929.26"/>
    <x v="1"/>
    <n v="0.3"/>
    <s v="Credit Card"/>
    <x v="1"/>
    <s v="North-Bob"/>
    <x v="5"/>
    <n v="1"/>
    <n v="2023"/>
  </r>
  <r>
    <n v="1085"/>
    <d v="2023-09-18T00:00:00"/>
    <x v="3"/>
    <x v="3"/>
    <n v="4716.47"/>
    <n v="40"/>
    <x v="2"/>
    <n v="4083.23"/>
    <n v="4521.57"/>
    <x v="1"/>
    <n v="0.27"/>
    <s v="Bank Transfer"/>
    <x v="1"/>
    <s v="East-Eve"/>
    <x v="2"/>
    <n v="9"/>
    <n v="2023"/>
  </r>
  <r>
    <n v="1100"/>
    <d v="2023-02-23T00:00:00"/>
    <x v="3"/>
    <x v="0"/>
    <n v="849.43"/>
    <n v="43"/>
    <x v="0"/>
    <n v="2116.09"/>
    <n v="2472.98"/>
    <x v="1"/>
    <n v="0.01"/>
    <s v="Credit Card"/>
    <x v="1"/>
    <s v="North-Eve"/>
    <x v="0"/>
    <n v="2"/>
    <n v="2023"/>
  </r>
  <r>
    <n v="1053"/>
    <d v="2023-02-16T00:00:00"/>
    <x v="3"/>
    <x v="1"/>
    <n v="3939.48"/>
    <n v="11"/>
    <x v="0"/>
    <n v="1582.86"/>
    <n v="1942.55"/>
    <x v="1"/>
    <n v="0.17"/>
    <s v="Credit Card"/>
    <x v="1"/>
    <s v="West-Eve"/>
    <x v="0"/>
    <n v="2"/>
    <n v="2023"/>
  </r>
  <r>
    <n v="1023"/>
    <d v="2023-08-03T00:00:00"/>
    <x v="1"/>
    <x v="1"/>
    <n v="8055.02"/>
    <n v="45"/>
    <x v="1"/>
    <n v="4692.24"/>
    <n v="4825.92"/>
    <x v="0"/>
    <n v="0.19"/>
    <s v="Bank Transfer"/>
    <x v="1"/>
    <s v="West-David"/>
    <x v="3"/>
    <n v="8"/>
    <n v="2023"/>
  </r>
  <r>
    <n v="1016"/>
    <d v="2023-06-26T00:00:00"/>
    <x v="2"/>
    <x v="0"/>
    <n v="9027.56"/>
    <n v="3"/>
    <x v="3"/>
    <n v="3401.87"/>
    <n v="3733.71"/>
    <x v="0"/>
    <n v="0.06"/>
    <s v="Bank Transfer"/>
    <x v="1"/>
    <s v="North-Charlie"/>
    <x v="6"/>
    <n v="6"/>
    <n v="2023"/>
  </r>
  <r>
    <n v="1057"/>
    <d v="2023-01-09T00:00:00"/>
    <x v="2"/>
    <x v="0"/>
    <n v="2114.38"/>
    <n v="12"/>
    <x v="0"/>
    <n v="639.16"/>
    <n v="746.28"/>
    <x v="0"/>
    <n v="0.04"/>
    <s v="Bank Transfer"/>
    <x v="1"/>
    <s v="North-Charlie"/>
    <x v="5"/>
    <n v="1"/>
    <n v="2023"/>
  </r>
  <r>
    <n v="1039"/>
    <d v="2023-04-09T00:00:00"/>
    <x v="4"/>
    <x v="0"/>
    <n v="763.04"/>
    <n v="3"/>
    <x v="1"/>
    <n v="391.19"/>
    <n v="471.75"/>
    <x v="0"/>
    <n v="0.27"/>
    <s v="Cash"/>
    <x v="0"/>
    <s v="North-Alice"/>
    <x v="1"/>
    <n v="4"/>
    <n v="2023"/>
  </r>
  <r>
    <n v="1053"/>
    <d v="2023-01-20T00:00:00"/>
    <x v="1"/>
    <x v="1"/>
    <n v="8785.77"/>
    <n v="42"/>
    <x v="0"/>
    <n v="2443.5700000000002"/>
    <n v="2943.31"/>
    <x v="1"/>
    <n v="0.28999999999999998"/>
    <s v="Cash"/>
    <x v="0"/>
    <s v="West-David"/>
    <x v="5"/>
    <n v="1"/>
    <n v="2023"/>
  </r>
  <r>
    <n v="1042"/>
    <d v="2023-08-29T00:00:00"/>
    <x v="3"/>
    <x v="2"/>
    <n v="3955.11"/>
    <n v="27"/>
    <x v="2"/>
    <n v="1139.45"/>
    <n v="1454.41"/>
    <x v="0"/>
    <n v="0.3"/>
    <s v="Bank Transfer"/>
    <x v="0"/>
    <s v="South-Eve"/>
    <x v="3"/>
    <n v="8"/>
    <n v="2023"/>
  </r>
  <r>
    <n v="1058"/>
    <d v="2023-03-02T00:00:00"/>
    <x v="3"/>
    <x v="3"/>
    <n v="5463.43"/>
    <n v="49"/>
    <x v="0"/>
    <n v="1307.22"/>
    <n v="1528.4"/>
    <x v="0"/>
    <n v="0.24"/>
    <s v="Cash"/>
    <x v="1"/>
    <s v="East-Eve"/>
    <x v="4"/>
    <n v="3"/>
    <n v="2023"/>
  </r>
  <r>
    <n v="1039"/>
    <d v="2023-06-27T00:00:00"/>
    <x v="0"/>
    <x v="3"/>
    <n v="9683.85"/>
    <n v="2"/>
    <x v="3"/>
    <n v="4394.58"/>
    <n v="4545.78"/>
    <x v="0"/>
    <n v="0.2"/>
    <s v="Credit Card"/>
    <x v="1"/>
    <s v="East-Bob"/>
    <x v="6"/>
    <n v="6"/>
    <n v="2023"/>
  </r>
  <r>
    <n v="1014"/>
    <d v="2023-12-04T00:00:00"/>
    <x v="0"/>
    <x v="1"/>
    <n v="758.99"/>
    <n v="49"/>
    <x v="0"/>
    <n v="493.35"/>
    <n v="799.27"/>
    <x v="1"/>
    <n v="0.1"/>
    <s v="Bank Transfer"/>
    <x v="0"/>
    <s v="West-Bob"/>
    <x v="9"/>
    <n v="12"/>
    <n v="2023"/>
  </r>
  <r>
    <n v="1095"/>
    <d v="2023-03-03T00:00:00"/>
    <x v="3"/>
    <x v="3"/>
    <n v="6518.35"/>
    <n v="16"/>
    <x v="3"/>
    <n v="3591.05"/>
    <n v="3625.35"/>
    <x v="0"/>
    <n v="0.05"/>
    <s v="Credit Card"/>
    <x v="1"/>
    <s v="East-Eve"/>
    <x v="4"/>
    <n v="3"/>
    <n v="2023"/>
  </r>
  <r>
    <n v="1005"/>
    <d v="2023-05-25T00:00:00"/>
    <x v="3"/>
    <x v="0"/>
    <n v="833.64"/>
    <n v="2"/>
    <x v="2"/>
    <n v="1392.15"/>
    <n v="1448.54"/>
    <x v="0"/>
    <n v="0.02"/>
    <s v="Bank Transfer"/>
    <x v="1"/>
    <s v="North-Eve"/>
    <x v="10"/>
    <n v="5"/>
    <n v="2023"/>
  </r>
  <r>
    <n v="1035"/>
    <d v="2023-08-04T00:00:00"/>
    <x v="1"/>
    <x v="2"/>
    <n v="3817.14"/>
    <n v="30"/>
    <x v="3"/>
    <n v="3813.62"/>
    <n v="3839.72"/>
    <x v="1"/>
    <n v="0.21"/>
    <s v="Credit Card"/>
    <x v="0"/>
    <s v="South-David"/>
    <x v="3"/>
    <n v="8"/>
    <n v="2023"/>
  </r>
  <r>
    <n v="1087"/>
    <d v="2023-01-03T00:00:00"/>
    <x v="2"/>
    <x v="3"/>
    <n v="8057.76"/>
    <n v="20"/>
    <x v="0"/>
    <n v="3625.94"/>
    <n v="3880.53"/>
    <x v="1"/>
    <n v="0.24"/>
    <s v="Bank Transfer"/>
    <x v="0"/>
    <s v="East-Charlie"/>
    <x v="5"/>
    <n v="1"/>
    <n v="2023"/>
  </r>
  <r>
    <n v="1093"/>
    <d v="2023-06-09T00:00:00"/>
    <x v="0"/>
    <x v="2"/>
    <n v="4391.38"/>
    <n v="38"/>
    <x v="1"/>
    <n v="86.59"/>
    <n v="390.89"/>
    <x v="0"/>
    <n v="0.25"/>
    <s v="Credit Card"/>
    <x v="0"/>
    <s v="South-Bob"/>
    <x v="6"/>
    <n v="6"/>
    <n v="2023"/>
  </r>
  <r>
    <n v="1075"/>
    <d v="2023-08-15T00:00:00"/>
    <x v="2"/>
    <x v="0"/>
    <n v="9972.11"/>
    <n v="28"/>
    <x v="2"/>
    <n v="2570.2199999999998"/>
    <n v="2610.8399999999901"/>
    <x v="0"/>
    <n v="0.27"/>
    <s v="Bank Transfer"/>
    <x v="1"/>
    <s v="North-Charlie"/>
    <x v="3"/>
    <n v="8"/>
    <n v="2023"/>
  </r>
  <r>
    <n v="1018"/>
    <d v="2023-09-26T00:00:00"/>
    <x v="1"/>
    <x v="3"/>
    <n v="5634.69"/>
    <n v="25"/>
    <x v="0"/>
    <n v="739.63"/>
    <n v="1103.03"/>
    <x v="1"/>
    <n v="0.26"/>
    <s v="Bank Transfer"/>
    <x v="1"/>
    <s v="East-David"/>
    <x v="2"/>
    <n v="9"/>
    <n v="2023"/>
  </r>
  <r>
    <n v="1076"/>
    <d v="2023-04-30T00:00:00"/>
    <x v="3"/>
    <x v="1"/>
    <n v="3279.51"/>
    <n v="32"/>
    <x v="2"/>
    <n v="4337.82"/>
    <n v="4460.71"/>
    <x v="0"/>
    <n v="0.3"/>
    <s v="Cash"/>
    <x v="1"/>
    <s v="West-Eve"/>
    <x v="1"/>
    <n v="4"/>
    <n v="2023"/>
  </r>
  <r>
    <n v="1009"/>
    <d v="2023-03-30T00:00:00"/>
    <x v="2"/>
    <x v="2"/>
    <n v="2279.1"/>
    <n v="10"/>
    <x v="2"/>
    <n v="4364.3500000000004"/>
    <n v="4710.1000000000004"/>
    <x v="1"/>
    <n v="7.0000000000000007E-2"/>
    <s v="Credit Card"/>
    <x v="0"/>
    <s v="South-Charlie"/>
    <x v="4"/>
    <n v="3"/>
    <n v="2023"/>
  </r>
  <r>
    <n v="1074"/>
    <d v="2023-11-25T00:00:00"/>
    <x v="3"/>
    <x v="0"/>
    <n v="3570.15"/>
    <n v="42"/>
    <x v="0"/>
    <n v="2120.81"/>
    <n v="2611.94"/>
    <x v="0"/>
    <n v="0.23"/>
    <s v="Cash"/>
    <x v="0"/>
    <s v="North-Eve"/>
    <x v="8"/>
    <n v="11"/>
    <n v="2023"/>
  </r>
  <r>
    <n v="1058"/>
    <d v="2023-03-09T00:00:00"/>
    <x v="3"/>
    <x v="2"/>
    <n v="3788.08"/>
    <n v="40"/>
    <x v="0"/>
    <n v="2249.7600000000002"/>
    <n v="2598.4"/>
    <x v="0"/>
    <n v="0.18"/>
    <s v="Credit Card"/>
    <x v="1"/>
    <s v="South-Eve"/>
    <x v="4"/>
    <n v="3"/>
    <n v="2023"/>
  </r>
  <r>
    <n v="1017"/>
    <d v="2023-12-23T00:00:00"/>
    <x v="4"/>
    <x v="3"/>
    <n v="780.27"/>
    <n v="33"/>
    <x v="1"/>
    <n v="1551.25"/>
    <n v="1994.01"/>
    <x v="0"/>
    <n v="0.08"/>
    <s v="Cash"/>
    <x v="0"/>
    <s v="East-Alice"/>
    <x v="9"/>
    <n v="12"/>
    <n v="2023"/>
  </r>
  <r>
    <n v="1007"/>
    <d v="2023-04-08T00:00:00"/>
    <x v="2"/>
    <x v="3"/>
    <n v="3758.78"/>
    <n v="13"/>
    <x v="2"/>
    <n v="3597.2"/>
    <n v="4071.8199999999902"/>
    <x v="0"/>
    <n v="0.28999999999999998"/>
    <s v="Bank Transfer"/>
    <x v="0"/>
    <s v="East-Charlie"/>
    <x v="1"/>
    <n v="4"/>
    <n v="2023"/>
  </r>
  <r>
    <n v="1046"/>
    <d v="2023-09-24T00:00:00"/>
    <x v="2"/>
    <x v="1"/>
    <n v="4695.96"/>
    <n v="41"/>
    <x v="2"/>
    <n v="1825.37"/>
    <n v="2073.88"/>
    <x v="0"/>
    <n v="0.27"/>
    <s v="Cash"/>
    <x v="1"/>
    <s v="West-Charlie"/>
    <x v="2"/>
    <n v="9"/>
    <n v="2023"/>
  </r>
  <r>
    <n v="1013"/>
    <d v="2023-04-15T00:00:00"/>
    <x v="3"/>
    <x v="0"/>
    <n v="7255.1"/>
    <n v="42"/>
    <x v="0"/>
    <n v="1375.57"/>
    <n v="1729.71"/>
    <x v="1"/>
    <n v="0.04"/>
    <s v="Cash"/>
    <x v="0"/>
    <s v="North-Eve"/>
    <x v="1"/>
    <n v="4"/>
    <n v="2023"/>
  </r>
  <r>
    <n v="1040"/>
    <d v="2023-11-19T00:00:00"/>
    <x v="1"/>
    <x v="0"/>
    <n v="6601.62"/>
    <n v="47"/>
    <x v="3"/>
    <n v="2189.54"/>
    <n v="2617"/>
    <x v="1"/>
    <n v="0.01"/>
    <s v="Bank Transfer"/>
    <x v="0"/>
    <s v="North-David"/>
    <x v="8"/>
    <n v="11"/>
    <n v="2023"/>
  </r>
  <r>
    <n v="1042"/>
    <d v="2023-05-03T00:00:00"/>
    <x v="4"/>
    <x v="1"/>
    <n v="7116.78"/>
    <n v="37"/>
    <x v="0"/>
    <n v="502.86"/>
    <n v="687.6"/>
    <x v="0"/>
    <n v="0.21"/>
    <s v="Cash"/>
    <x v="0"/>
    <s v="West-Alice"/>
    <x v="10"/>
    <n v="5"/>
    <n v="2023"/>
  </r>
  <r>
    <n v="1009"/>
    <d v="2023-01-29T00:00:00"/>
    <x v="3"/>
    <x v="1"/>
    <n v="182.8"/>
    <n v="16"/>
    <x v="2"/>
    <n v="3745.69"/>
    <n v="3883.77"/>
    <x v="0"/>
    <n v="0.18"/>
    <s v="Bank Transfer"/>
    <x v="1"/>
    <s v="West-Eve"/>
    <x v="5"/>
    <n v="1"/>
    <n v="2023"/>
  </r>
  <r>
    <n v="1050"/>
    <d v="2023-05-17T00:00:00"/>
    <x v="0"/>
    <x v="0"/>
    <n v="2254.91"/>
    <n v="45"/>
    <x v="0"/>
    <n v="112.35"/>
    <n v="586.17999999999995"/>
    <x v="0"/>
    <n v="0.28000000000000003"/>
    <s v="Credit Card"/>
    <x v="1"/>
    <s v="North-Bob"/>
    <x v="10"/>
    <n v="5"/>
    <n v="2023"/>
  </r>
  <r>
    <n v="1027"/>
    <d v="2023-07-14T00:00:00"/>
    <x v="0"/>
    <x v="2"/>
    <n v="6650.67"/>
    <n v="22"/>
    <x v="1"/>
    <n v="3240.2"/>
    <n v="3606.0899999999901"/>
    <x v="1"/>
    <n v="7.0000000000000007E-2"/>
    <s v="Cash"/>
    <x v="0"/>
    <s v="South-Bob"/>
    <x v="11"/>
    <n v="7"/>
    <n v="2023"/>
  </r>
  <r>
    <n v="1066"/>
    <d v="2023-08-14T00:00:00"/>
    <x v="4"/>
    <x v="2"/>
    <n v="4891.49"/>
    <n v="20"/>
    <x v="3"/>
    <n v="955.18"/>
    <n v="1072.82"/>
    <x v="1"/>
    <n v="0.03"/>
    <s v="Bank Transfer"/>
    <x v="1"/>
    <s v="South-Alice"/>
    <x v="3"/>
    <n v="8"/>
    <n v="2023"/>
  </r>
  <r>
    <n v="1005"/>
    <d v="2023-11-28T00:00:00"/>
    <x v="1"/>
    <x v="1"/>
    <n v="152.6"/>
    <n v="43"/>
    <x v="0"/>
    <n v="1200.4000000000001"/>
    <n v="1430.45"/>
    <x v="1"/>
    <n v="0.08"/>
    <s v="Bank Transfer"/>
    <x v="1"/>
    <s v="West-David"/>
    <x v="8"/>
    <n v="11"/>
    <n v="2023"/>
  </r>
  <r>
    <n v="1029"/>
    <d v="2023-06-19T00:00:00"/>
    <x v="3"/>
    <x v="2"/>
    <n v="8064.5"/>
    <n v="27"/>
    <x v="1"/>
    <n v="3196.38"/>
    <n v="3596.64"/>
    <x v="1"/>
    <n v="0.01"/>
    <s v="Cash"/>
    <x v="1"/>
    <s v="South-Eve"/>
    <x v="6"/>
    <n v="6"/>
    <n v="2023"/>
  </r>
  <r>
    <n v="1037"/>
    <d v="2023-01-09T00:00:00"/>
    <x v="2"/>
    <x v="0"/>
    <n v="7750.81"/>
    <n v="41"/>
    <x v="2"/>
    <n v="4965.07"/>
    <n v="5243.13"/>
    <x v="1"/>
    <n v="0.01"/>
    <s v="Credit Card"/>
    <x v="0"/>
    <s v="North-Charlie"/>
    <x v="5"/>
    <n v="1"/>
    <n v="2023"/>
  </r>
  <r>
    <n v="1038"/>
    <d v="2023-02-09T00:00:00"/>
    <x v="4"/>
    <x v="3"/>
    <n v="5529.35"/>
    <n v="16"/>
    <x v="0"/>
    <n v="3899.7"/>
    <n v="4228.18"/>
    <x v="1"/>
    <n v="0.27"/>
    <s v="Cash"/>
    <x v="1"/>
    <s v="East-Alice"/>
    <x v="0"/>
    <n v="2"/>
    <n v="2023"/>
  </r>
  <r>
    <n v="1083"/>
    <d v="2023-01-25T00:00:00"/>
    <x v="1"/>
    <x v="3"/>
    <n v="757.99"/>
    <n v="34"/>
    <x v="2"/>
    <n v="1167.9100000000001"/>
    <n v="1547.26"/>
    <x v="1"/>
    <n v="0.11"/>
    <s v="Bank Transfer"/>
    <x v="0"/>
    <s v="East-David"/>
    <x v="5"/>
    <n v="1"/>
    <n v="2023"/>
  </r>
  <r>
    <n v="1008"/>
    <d v="2023-09-18T00:00:00"/>
    <x v="2"/>
    <x v="2"/>
    <n v="7688.5"/>
    <n v="32"/>
    <x v="1"/>
    <n v="921.32"/>
    <n v="1236.0999999999999"/>
    <x v="1"/>
    <n v="0.12"/>
    <s v="Credit Card"/>
    <x v="0"/>
    <s v="South-Charlie"/>
    <x v="2"/>
    <n v="9"/>
    <n v="2023"/>
  </r>
  <r>
    <n v="1065"/>
    <d v="2023-08-14T00:00:00"/>
    <x v="0"/>
    <x v="1"/>
    <n v="5878.76"/>
    <n v="26"/>
    <x v="2"/>
    <n v="4337.8500000000004"/>
    <n v="4612.49"/>
    <x v="0"/>
    <n v="0.01"/>
    <s v="Cash"/>
    <x v="1"/>
    <s v="West-Bob"/>
    <x v="3"/>
    <n v="8"/>
    <n v="2023"/>
  </r>
  <r>
    <n v="1086"/>
    <d v="2023-05-04T00:00:00"/>
    <x v="0"/>
    <x v="1"/>
    <n v="7841.4"/>
    <n v="25"/>
    <x v="1"/>
    <n v="2248.71"/>
    <n v="2626.02"/>
    <x v="1"/>
    <n v="0.08"/>
    <s v="Bank Transfer"/>
    <x v="0"/>
    <s v="West-Bob"/>
    <x v="10"/>
    <n v="5"/>
    <n v="2023"/>
  </r>
  <r>
    <n v="1017"/>
    <d v="2023-02-07T00:00:00"/>
    <x v="2"/>
    <x v="1"/>
    <n v="7542.3"/>
    <n v="2"/>
    <x v="1"/>
    <n v="728.41"/>
    <n v="1094.92"/>
    <x v="1"/>
    <n v="0.24"/>
    <s v="Cash"/>
    <x v="1"/>
    <s v="West-Charlie"/>
    <x v="0"/>
    <n v="2"/>
    <n v="2023"/>
  </r>
  <r>
    <n v="1071"/>
    <d v="2023-11-24T00:00:00"/>
    <x v="4"/>
    <x v="1"/>
    <n v="8049.72"/>
    <n v="12"/>
    <x v="1"/>
    <n v="4317.95"/>
    <n v="4636.59"/>
    <x v="1"/>
    <n v="0.18"/>
    <s v="Credit Card"/>
    <x v="1"/>
    <s v="West-Alice"/>
    <x v="8"/>
    <n v="11"/>
    <n v="2023"/>
  </r>
  <r>
    <n v="1089"/>
    <d v="2023-09-08T00:00:00"/>
    <x v="0"/>
    <x v="1"/>
    <n v="5228.28"/>
    <n v="40"/>
    <x v="0"/>
    <n v="4089.66"/>
    <n v="4275.96"/>
    <x v="1"/>
    <n v="0.23"/>
    <s v="Credit Card"/>
    <x v="0"/>
    <s v="West-Bob"/>
    <x v="2"/>
    <n v="9"/>
    <n v="2023"/>
  </r>
  <r>
    <n v="1045"/>
    <d v="2023-06-25T00:00:00"/>
    <x v="3"/>
    <x v="2"/>
    <n v="1489.21"/>
    <n v="9"/>
    <x v="2"/>
    <n v="4920.34"/>
    <n v="5129.1899999999996"/>
    <x v="0"/>
    <n v="0.13"/>
    <s v="Credit Card"/>
    <x v="0"/>
    <s v="South-Eve"/>
    <x v="6"/>
    <n v="6"/>
    <n v="2023"/>
  </r>
  <r>
    <n v="1004"/>
    <d v="2023-03-31T00:00:00"/>
    <x v="2"/>
    <x v="3"/>
    <n v="6744.46"/>
    <n v="12"/>
    <x v="2"/>
    <n v="4553.2299999999996"/>
    <n v="5038.74"/>
    <x v="1"/>
    <n v="0.09"/>
    <s v="Credit Card"/>
    <x v="1"/>
    <s v="East-Charlie"/>
    <x v="4"/>
    <n v="3"/>
    <n v="2023"/>
  </r>
  <r>
    <n v="1036"/>
    <d v="2023-02-06T00:00:00"/>
    <x v="2"/>
    <x v="3"/>
    <n v="6242.69"/>
    <n v="26"/>
    <x v="3"/>
    <n v="4266.3599999999997"/>
    <n v="4331.4299999999903"/>
    <x v="0"/>
    <n v="0.14000000000000001"/>
    <s v="Credit Card"/>
    <x v="1"/>
    <s v="East-Charlie"/>
    <x v="0"/>
    <n v="2"/>
    <n v="2023"/>
  </r>
  <r>
    <n v="1070"/>
    <d v="2023-11-12T00:00:00"/>
    <x v="0"/>
    <x v="2"/>
    <n v="7448.31"/>
    <n v="9"/>
    <x v="3"/>
    <n v="310.24"/>
    <n v="451.81"/>
    <x v="0"/>
    <n v="0.1"/>
    <s v="Cash"/>
    <x v="1"/>
    <s v="South-Bob"/>
    <x v="8"/>
    <n v="11"/>
    <n v="2023"/>
  </r>
  <r>
    <n v="1031"/>
    <d v="2023-06-25T00:00:00"/>
    <x v="4"/>
    <x v="1"/>
    <n v="1781.82"/>
    <n v="10"/>
    <x v="3"/>
    <n v="566.86"/>
    <n v="818.14"/>
    <x v="0"/>
    <n v="0.25"/>
    <s v="Credit Card"/>
    <x v="1"/>
    <s v="West-Alice"/>
    <x v="6"/>
    <n v="6"/>
    <n v="2023"/>
  </r>
  <r>
    <n v="1019"/>
    <d v="2023-10-11T00:00:00"/>
    <x v="3"/>
    <x v="2"/>
    <n v="2030.25"/>
    <n v="32"/>
    <x v="3"/>
    <n v="2866.47"/>
    <n v="3286.47"/>
    <x v="1"/>
    <n v="0.09"/>
    <s v="Credit Card"/>
    <x v="0"/>
    <s v="South-Eve"/>
    <x v="7"/>
    <n v="10"/>
    <n v="2023"/>
  </r>
  <r>
    <n v="1061"/>
    <d v="2023-03-22T00:00:00"/>
    <x v="4"/>
    <x v="3"/>
    <n v="8915.0499999999993"/>
    <n v="34"/>
    <x v="2"/>
    <n v="2680.82"/>
    <n v="2771.02"/>
    <x v="1"/>
    <n v="0.2"/>
    <s v="Bank Transfer"/>
    <x v="0"/>
    <s v="East-Alice"/>
    <x v="4"/>
    <n v="3"/>
    <n v="2023"/>
  </r>
  <r>
    <n v="1054"/>
    <d v="2023-04-24T00:00:00"/>
    <x v="1"/>
    <x v="0"/>
    <n v="7524.78"/>
    <n v="48"/>
    <x v="1"/>
    <n v="2316.92"/>
    <n v="2462.63"/>
    <x v="1"/>
    <n v="0.04"/>
    <s v="Credit Card"/>
    <x v="0"/>
    <s v="North-David"/>
    <x v="1"/>
    <n v="4"/>
    <n v="2023"/>
  </r>
  <r>
    <n v="1039"/>
    <d v="2023-02-09T00:00:00"/>
    <x v="1"/>
    <x v="2"/>
    <n v="9091.4599999999991"/>
    <n v="20"/>
    <x v="1"/>
    <n v="2014.11"/>
    <n v="2056.35"/>
    <x v="0"/>
    <n v="0.21"/>
    <s v="Bank Transfer"/>
    <x v="1"/>
    <s v="South-David"/>
    <x v="0"/>
    <n v="2"/>
    <n v="2023"/>
  </r>
  <r>
    <n v="1091"/>
    <d v="2023-10-28T00:00:00"/>
    <x v="0"/>
    <x v="1"/>
    <n v="7611.28"/>
    <n v="39"/>
    <x v="0"/>
    <n v="2184.4899999999998"/>
    <n v="2540.4199999999901"/>
    <x v="0"/>
    <n v="0.27"/>
    <s v="Bank Transfer"/>
    <x v="0"/>
    <s v="West-Bob"/>
    <x v="7"/>
    <n v="10"/>
    <n v="2023"/>
  </r>
  <r>
    <n v="1074"/>
    <d v="2023-08-12T00:00:00"/>
    <x v="0"/>
    <x v="3"/>
    <n v="6011.84"/>
    <n v="2"/>
    <x v="1"/>
    <n v="2868.02"/>
    <n v="2994.74"/>
    <x v="0"/>
    <n v="0.18"/>
    <s v="Bank Transfer"/>
    <x v="0"/>
    <s v="East-Bob"/>
    <x v="3"/>
    <n v="8"/>
    <n v="2023"/>
  </r>
  <r>
    <n v="1090"/>
    <d v="2023-11-14T00:00:00"/>
    <x v="0"/>
    <x v="3"/>
    <n v="6575.91"/>
    <n v="1"/>
    <x v="2"/>
    <n v="60.28"/>
    <n v="260.73"/>
    <x v="0"/>
    <n v="0.17"/>
    <s v="Cash"/>
    <x v="0"/>
    <s v="East-Bob"/>
    <x v="8"/>
    <n v="11"/>
    <n v="2023"/>
  </r>
  <r>
    <n v="1019"/>
    <d v="2023-12-15T00:00:00"/>
    <x v="1"/>
    <x v="3"/>
    <n v="8902.3700000000008"/>
    <n v="36"/>
    <x v="2"/>
    <n v="1340.51"/>
    <n v="1567.92"/>
    <x v="1"/>
    <n v="0.28999999999999998"/>
    <s v="Cash"/>
    <x v="0"/>
    <s v="East-David"/>
    <x v="9"/>
    <n v="12"/>
    <n v="2023"/>
  </r>
  <r>
    <n v="1039"/>
    <d v="2023-04-25T00:00:00"/>
    <x v="4"/>
    <x v="3"/>
    <n v="5830.19"/>
    <n v="24"/>
    <x v="2"/>
    <n v="2615.48"/>
    <n v="3062.22"/>
    <x v="1"/>
    <n v="0.19"/>
    <s v="Bank Transfer"/>
    <x v="1"/>
    <s v="East-Alice"/>
    <x v="1"/>
    <n v="4"/>
    <n v="2023"/>
  </r>
  <r>
    <n v="1067"/>
    <d v="2023-07-05T00:00:00"/>
    <x v="4"/>
    <x v="1"/>
    <n v="6360.67"/>
    <n v="27"/>
    <x v="0"/>
    <n v="3624.97"/>
    <n v="3836.52"/>
    <x v="1"/>
    <n v="0.08"/>
    <s v="Cash"/>
    <x v="0"/>
    <s v="West-Alice"/>
    <x v="11"/>
    <n v="7"/>
    <n v="2023"/>
  </r>
  <r>
    <n v="1045"/>
    <d v="2023-11-19T00:00:00"/>
    <x v="0"/>
    <x v="0"/>
    <n v="1649.12"/>
    <n v="2"/>
    <x v="3"/>
    <n v="912.08"/>
    <n v="993.24"/>
    <x v="0"/>
    <n v="0.09"/>
    <s v="Credit Card"/>
    <x v="0"/>
    <s v="North-Bob"/>
    <x v="8"/>
    <n v="11"/>
    <n v="2023"/>
  </r>
  <r>
    <n v="1013"/>
    <d v="2023-02-25T00:00:00"/>
    <x v="3"/>
    <x v="3"/>
    <n v="4791.82"/>
    <n v="31"/>
    <x v="1"/>
    <n v="2757.06"/>
    <n v="3023.97"/>
    <x v="0"/>
    <n v="0.21"/>
    <s v="Cash"/>
    <x v="0"/>
    <s v="East-Eve"/>
    <x v="0"/>
    <n v="2"/>
    <n v="2023"/>
  </r>
  <r>
    <n v="1092"/>
    <d v="2023-02-09T00:00:00"/>
    <x v="4"/>
    <x v="2"/>
    <n v="7192.33"/>
    <n v="14"/>
    <x v="2"/>
    <n v="3586.58"/>
    <n v="4068.43"/>
    <x v="1"/>
    <n v="0.22"/>
    <s v="Credit Card"/>
    <x v="0"/>
    <s v="South-Alice"/>
    <x v="0"/>
    <n v="2"/>
    <n v="2023"/>
  </r>
  <r>
    <n v="1058"/>
    <d v="2023-12-20T00:00:00"/>
    <x v="1"/>
    <x v="0"/>
    <n v="2782.33"/>
    <n v="2"/>
    <x v="2"/>
    <n v="2250.91"/>
    <n v="2558.6799999999998"/>
    <x v="1"/>
    <n v="0.09"/>
    <s v="Credit Card"/>
    <x v="1"/>
    <s v="North-David"/>
    <x v="9"/>
    <n v="12"/>
    <n v="2023"/>
  </r>
  <r>
    <n v="1020"/>
    <d v="2023-02-09T00:00:00"/>
    <x v="2"/>
    <x v="3"/>
    <n v="2102.3200000000002"/>
    <n v="29"/>
    <x v="3"/>
    <n v="184.05"/>
    <n v="675.91"/>
    <x v="0"/>
    <n v="0.1"/>
    <s v="Cash"/>
    <x v="1"/>
    <s v="East-Charlie"/>
    <x v="0"/>
    <n v="2"/>
    <n v="2023"/>
  </r>
  <r>
    <n v="1092"/>
    <d v="2023-12-13T00:00:00"/>
    <x v="2"/>
    <x v="0"/>
    <n v="3206.89"/>
    <n v="15"/>
    <x v="2"/>
    <n v="2273.88"/>
    <n v="2696.02"/>
    <x v="1"/>
    <n v="0.3"/>
    <s v="Cash"/>
    <x v="0"/>
    <s v="North-Charlie"/>
    <x v="9"/>
    <n v="12"/>
    <n v="2023"/>
  </r>
  <r>
    <n v="1072"/>
    <d v="2023-08-25T00:00:00"/>
    <x v="2"/>
    <x v="2"/>
    <n v="2490.86"/>
    <n v="12"/>
    <x v="1"/>
    <n v="1517.4"/>
    <n v="1545.02"/>
    <x v="1"/>
    <n v="0.03"/>
    <s v="Bank Transfer"/>
    <x v="1"/>
    <s v="South-Charlie"/>
    <x v="3"/>
    <n v="8"/>
    <n v="2023"/>
  </r>
  <r>
    <n v="1061"/>
    <d v="2023-10-16T00:00:00"/>
    <x v="3"/>
    <x v="3"/>
    <n v="2227.64"/>
    <n v="37"/>
    <x v="0"/>
    <n v="4651.7700000000004"/>
    <n v="4984.3900000000003"/>
    <x v="0"/>
    <n v="0.12"/>
    <s v="Cash"/>
    <x v="1"/>
    <s v="East-Eve"/>
    <x v="7"/>
    <n v="10"/>
    <n v="2023"/>
  </r>
  <r>
    <n v="1039"/>
    <d v="2023-09-19T00:00:00"/>
    <x v="0"/>
    <x v="2"/>
    <n v="4306.0200000000004"/>
    <n v="28"/>
    <x v="2"/>
    <n v="666.84"/>
    <n v="817.36"/>
    <x v="0"/>
    <n v="0.02"/>
    <s v="Cash"/>
    <x v="1"/>
    <s v="South-Bob"/>
    <x v="2"/>
    <n v="9"/>
    <n v="2023"/>
  </r>
  <r>
    <n v="1001"/>
    <d v="2023-08-04T00:00:00"/>
    <x v="1"/>
    <x v="1"/>
    <n v="9087.6"/>
    <n v="20"/>
    <x v="1"/>
    <n v="3279.76"/>
    <n v="3563.97"/>
    <x v="0"/>
    <n v="0.25"/>
    <s v="Cash"/>
    <x v="1"/>
    <s v="West-David"/>
    <x v="3"/>
    <n v="8"/>
    <n v="2023"/>
  </r>
  <r>
    <n v="1003"/>
    <d v="2023-05-27T00:00:00"/>
    <x v="3"/>
    <x v="3"/>
    <n v="5119.8900000000003"/>
    <n v="39"/>
    <x v="2"/>
    <n v="310.95999999999998"/>
    <n v="457.84"/>
    <x v="1"/>
    <n v="0.03"/>
    <s v="Credit Card"/>
    <x v="0"/>
    <s v="East-Eve"/>
    <x v="10"/>
    <n v="5"/>
    <n v="2023"/>
  </r>
  <r>
    <n v="1077"/>
    <d v="2023-12-02T00:00:00"/>
    <x v="1"/>
    <x v="3"/>
    <n v="1960.41"/>
    <n v="24"/>
    <x v="3"/>
    <n v="2258.54"/>
    <n v="2439.4899999999998"/>
    <x v="0"/>
    <n v="0.2"/>
    <s v="Credit Card"/>
    <x v="1"/>
    <s v="East-David"/>
    <x v="9"/>
    <n v="12"/>
    <n v="2023"/>
  </r>
  <r>
    <n v="1092"/>
    <d v="2023-06-17T00:00:00"/>
    <x v="1"/>
    <x v="3"/>
    <n v="862.02"/>
    <n v="21"/>
    <x v="2"/>
    <n v="2792.2"/>
    <n v="3254.5499999999902"/>
    <x v="1"/>
    <n v="0.02"/>
    <s v="Credit Card"/>
    <x v="1"/>
    <s v="East-David"/>
    <x v="6"/>
    <n v="6"/>
    <n v="2023"/>
  </r>
  <r>
    <n v="1062"/>
    <d v="2023-04-02T00:00:00"/>
    <x v="0"/>
    <x v="3"/>
    <n v="6991.95"/>
    <n v="10"/>
    <x v="2"/>
    <n v="1524.88"/>
    <n v="1636.14"/>
    <x v="1"/>
    <n v="0.2"/>
    <s v="Bank Transfer"/>
    <x v="0"/>
    <s v="East-Bob"/>
    <x v="1"/>
    <n v="4"/>
    <n v="2023"/>
  </r>
  <r>
    <n v="1063"/>
    <d v="2023-12-19T00:00:00"/>
    <x v="2"/>
    <x v="1"/>
    <n v="3889.71"/>
    <n v="46"/>
    <x v="0"/>
    <n v="2302.62"/>
    <n v="2740.93"/>
    <x v="0"/>
    <n v="0.25"/>
    <s v="Bank Transfer"/>
    <x v="0"/>
    <s v="West-Charlie"/>
    <x v="9"/>
    <n v="12"/>
    <n v="2023"/>
  </r>
  <r>
    <n v="1025"/>
    <d v="2023-02-28T00:00:00"/>
    <x v="0"/>
    <x v="3"/>
    <n v="8236.1299999999992"/>
    <n v="14"/>
    <x v="3"/>
    <n v="859.59"/>
    <n v="884.51"/>
    <x v="1"/>
    <n v="0.12"/>
    <s v="Bank Transfer"/>
    <x v="0"/>
    <s v="East-Bob"/>
    <x v="0"/>
    <n v="2"/>
    <n v="2023"/>
  </r>
  <r>
    <n v="1056"/>
    <d v="2023-02-28T00:00:00"/>
    <x v="3"/>
    <x v="0"/>
    <n v="6629.16"/>
    <n v="37"/>
    <x v="3"/>
    <n v="1555.41"/>
    <n v="1609.94"/>
    <x v="0"/>
    <n v="0.16"/>
    <s v="Credit Card"/>
    <x v="0"/>
    <s v="North-Eve"/>
    <x v="0"/>
    <n v="2"/>
    <n v="2023"/>
  </r>
  <r>
    <n v="1033"/>
    <d v="2023-10-31T00:00:00"/>
    <x v="3"/>
    <x v="3"/>
    <n v="7982.79"/>
    <n v="18"/>
    <x v="0"/>
    <n v="3124.48"/>
    <n v="3553.27"/>
    <x v="0"/>
    <n v="0.12"/>
    <s v="Cash"/>
    <x v="1"/>
    <s v="East-Eve"/>
    <x v="7"/>
    <n v="10"/>
    <n v="2023"/>
  </r>
  <r>
    <n v="1038"/>
    <d v="2023-06-18T00:00:00"/>
    <x v="3"/>
    <x v="1"/>
    <n v="2792.27"/>
    <n v="24"/>
    <x v="2"/>
    <n v="1543.91"/>
    <n v="1862.88"/>
    <x v="1"/>
    <n v="0.09"/>
    <s v="Bank Transfer"/>
    <x v="0"/>
    <s v="West-Eve"/>
    <x v="6"/>
    <n v="6"/>
    <n v="2023"/>
  </r>
  <r>
    <n v="1006"/>
    <d v="2023-09-26T00:00:00"/>
    <x v="0"/>
    <x v="3"/>
    <n v="6954.35"/>
    <n v="14"/>
    <x v="1"/>
    <n v="4503.7299999999996"/>
    <n v="4879.8799999999901"/>
    <x v="1"/>
    <n v="0.24"/>
    <s v="Bank Transfer"/>
    <x v="1"/>
    <s v="East-Bob"/>
    <x v="2"/>
    <n v="9"/>
    <n v="2023"/>
  </r>
  <r>
    <n v="1058"/>
    <d v="2023-12-29T00:00:00"/>
    <x v="1"/>
    <x v="0"/>
    <n v="2714.21"/>
    <n v="34"/>
    <x v="3"/>
    <n v="3160.61"/>
    <n v="3273.22"/>
    <x v="0"/>
    <n v="0.08"/>
    <s v="Credit Card"/>
    <x v="1"/>
    <s v="North-David"/>
    <x v="9"/>
    <n v="12"/>
    <n v="2023"/>
  </r>
  <r>
    <n v="1044"/>
    <d v="2023-02-14T00:00:00"/>
    <x v="1"/>
    <x v="1"/>
    <n v="9396.7800000000007"/>
    <n v="12"/>
    <x v="3"/>
    <n v="2221.31"/>
    <n v="2494.48"/>
    <x v="0"/>
    <n v="0.22"/>
    <s v="Bank Transfer"/>
    <x v="0"/>
    <s v="West-David"/>
    <x v="0"/>
    <n v="2"/>
    <n v="2023"/>
  </r>
  <r>
    <n v="1045"/>
    <d v="2023-12-11T00:00:00"/>
    <x v="4"/>
    <x v="1"/>
    <n v="6400.11"/>
    <n v="22"/>
    <x v="2"/>
    <n v="241.85"/>
    <n v="613.09"/>
    <x v="0"/>
    <n v="0.06"/>
    <s v="Cash"/>
    <x v="0"/>
    <s v="West-Alice"/>
    <x v="9"/>
    <n v="12"/>
    <n v="2023"/>
  </r>
  <r>
    <n v="1032"/>
    <d v="2023-06-30T00:00:00"/>
    <x v="3"/>
    <x v="0"/>
    <n v="3312.67"/>
    <n v="6"/>
    <x v="2"/>
    <n v="2522.7600000000002"/>
    <n v="2840.14"/>
    <x v="0"/>
    <n v="7.0000000000000007E-2"/>
    <s v="Credit Card"/>
    <x v="1"/>
    <s v="North-Eve"/>
    <x v="6"/>
    <n v="6"/>
    <n v="2023"/>
  </r>
  <r>
    <n v="1045"/>
    <d v="2023-06-19T00:00:00"/>
    <x v="1"/>
    <x v="0"/>
    <n v="2768.17"/>
    <n v="36"/>
    <x v="3"/>
    <n v="3835.64"/>
    <n v="4076.77"/>
    <x v="0"/>
    <n v="0.1"/>
    <s v="Credit Card"/>
    <x v="1"/>
    <s v="North-David"/>
    <x v="6"/>
    <n v="6"/>
    <n v="2023"/>
  </r>
  <r>
    <n v="1061"/>
    <d v="2023-12-22T00:00:00"/>
    <x v="4"/>
    <x v="0"/>
    <n v="1990.17"/>
    <n v="45"/>
    <x v="2"/>
    <n v="1364.51"/>
    <n v="1844.8"/>
    <x v="0"/>
    <n v="0.18"/>
    <s v="Cash"/>
    <x v="0"/>
    <s v="North-Alice"/>
    <x v="9"/>
    <n v="12"/>
    <n v="2023"/>
  </r>
  <r>
    <n v="1047"/>
    <d v="2023-07-10T00:00:00"/>
    <x v="1"/>
    <x v="0"/>
    <n v="6976.95"/>
    <n v="36"/>
    <x v="1"/>
    <n v="4043.53"/>
    <n v="4384.8500000000004"/>
    <x v="1"/>
    <n v="0.14000000000000001"/>
    <s v="Cash"/>
    <x v="0"/>
    <s v="North-David"/>
    <x v="11"/>
    <n v="7"/>
    <n v="2023"/>
  </r>
  <r>
    <n v="1021"/>
    <d v="2023-06-04T00:00:00"/>
    <x v="3"/>
    <x v="0"/>
    <n v="2265.2800000000002"/>
    <n v="22"/>
    <x v="3"/>
    <n v="1296.44"/>
    <n v="1751.24"/>
    <x v="1"/>
    <n v="0.22"/>
    <s v="Cash"/>
    <x v="0"/>
    <s v="North-Eve"/>
    <x v="6"/>
    <n v="6"/>
    <n v="2023"/>
  </r>
  <r>
    <n v="1080"/>
    <d v="2023-07-07T00:00:00"/>
    <x v="2"/>
    <x v="1"/>
    <n v="5993.5"/>
    <n v="14"/>
    <x v="1"/>
    <n v="4127.54"/>
    <n v="4495.13"/>
    <x v="1"/>
    <n v="0.06"/>
    <s v="Bank Transfer"/>
    <x v="1"/>
    <s v="West-Charlie"/>
    <x v="11"/>
    <n v="7"/>
    <n v="2023"/>
  </r>
  <r>
    <n v="1085"/>
    <d v="2023-01-07T00:00:00"/>
    <x v="3"/>
    <x v="1"/>
    <n v="2719.89"/>
    <n v="16"/>
    <x v="1"/>
    <n v="472.08"/>
    <n v="842.46"/>
    <x v="1"/>
    <n v="0"/>
    <s v="Cash"/>
    <x v="1"/>
    <s v="West-Eve"/>
    <x v="5"/>
    <n v="1"/>
    <n v="2023"/>
  </r>
  <r>
    <n v="1075"/>
    <d v="2023-05-13T00:00:00"/>
    <x v="0"/>
    <x v="3"/>
    <n v="6653.49"/>
    <n v="36"/>
    <x v="2"/>
    <n v="4337.6099999999997"/>
    <n v="4386.82"/>
    <x v="0"/>
    <n v="0.23"/>
    <s v="Credit Card"/>
    <x v="0"/>
    <s v="East-Bob"/>
    <x v="10"/>
    <n v="5"/>
    <n v="2023"/>
  </r>
  <r>
    <n v="1036"/>
    <d v="2023-08-23T00:00:00"/>
    <x v="1"/>
    <x v="3"/>
    <n v="8167.9"/>
    <n v="25"/>
    <x v="1"/>
    <n v="2520.9699999999998"/>
    <n v="2707.1099999999901"/>
    <x v="1"/>
    <n v="0.25"/>
    <s v="Cash"/>
    <x v="1"/>
    <s v="East-David"/>
    <x v="3"/>
    <n v="8"/>
    <n v="2023"/>
  </r>
  <r>
    <n v="1099"/>
    <d v="2023-02-14T00:00:00"/>
    <x v="1"/>
    <x v="2"/>
    <n v="7802.45"/>
    <n v="32"/>
    <x v="2"/>
    <n v="1517.86"/>
    <n v="1948.46"/>
    <x v="1"/>
    <n v="0.02"/>
    <s v="Credit Card"/>
    <x v="0"/>
    <s v="South-David"/>
    <x v="0"/>
    <n v="2"/>
    <n v="2023"/>
  </r>
  <r>
    <n v="1019"/>
    <d v="2023-11-10T00:00:00"/>
    <x v="0"/>
    <x v="3"/>
    <n v="7632.43"/>
    <n v="33"/>
    <x v="0"/>
    <n v="1362.31"/>
    <n v="1486.29"/>
    <x v="0"/>
    <n v="0.18"/>
    <s v="Credit Card"/>
    <x v="1"/>
    <s v="East-Bob"/>
    <x v="8"/>
    <n v="11"/>
    <n v="2023"/>
  </r>
  <r>
    <n v="1020"/>
    <d v="2023-09-06T00:00:00"/>
    <x v="0"/>
    <x v="3"/>
    <n v="1958.45"/>
    <n v="45"/>
    <x v="2"/>
    <n v="2188.4499999999998"/>
    <n v="2255.0499999999902"/>
    <x v="1"/>
    <n v="0.11"/>
    <s v="Bank Transfer"/>
    <x v="1"/>
    <s v="East-Bob"/>
    <x v="2"/>
    <n v="9"/>
    <n v="2023"/>
  </r>
  <r>
    <n v="1057"/>
    <d v="2023-01-31T00:00:00"/>
    <x v="2"/>
    <x v="0"/>
    <n v="975.01"/>
    <n v="36"/>
    <x v="1"/>
    <n v="4995.3"/>
    <n v="5165.09"/>
    <x v="0"/>
    <n v="0.24"/>
    <s v="Cash"/>
    <x v="0"/>
    <s v="North-Charlie"/>
    <x v="5"/>
    <n v="1"/>
    <n v="2023"/>
  </r>
  <r>
    <n v="1018"/>
    <d v="2023-01-23T00:00:00"/>
    <x v="1"/>
    <x v="0"/>
    <n v="7019.59"/>
    <n v="20"/>
    <x v="0"/>
    <n v="1140.6199999999999"/>
    <n v="1258.6299999999901"/>
    <x v="0"/>
    <n v="0.26"/>
    <s v="Bank Transfer"/>
    <x v="0"/>
    <s v="North-David"/>
    <x v="5"/>
    <n v="1"/>
    <n v="2023"/>
  </r>
  <r>
    <n v="1047"/>
    <d v="2023-06-09T00:00:00"/>
    <x v="1"/>
    <x v="3"/>
    <n v="3746.64"/>
    <n v="18"/>
    <x v="2"/>
    <n v="560.91999999999996"/>
    <n v="1024.31"/>
    <x v="0"/>
    <n v="0.26"/>
    <s v="Cash"/>
    <x v="0"/>
    <s v="East-David"/>
    <x v="6"/>
    <n v="6"/>
    <n v="2023"/>
  </r>
  <r>
    <n v="1049"/>
    <d v="2023-12-29T00:00:00"/>
    <x v="2"/>
    <x v="2"/>
    <n v="4380.2299999999996"/>
    <n v="38"/>
    <x v="1"/>
    <n v="2945.92"/>
    <n v="3381.22"/>
    <x v="0"/>
    <n v="0.23"/>
    <s v="Cash"/>
    <x v="1"/>
    <s v="South-Charlie"/>
    <x v="9"/>
    <n v="12"/>
    <n v="2023"/>
  </r>
  <r>
    <n v="1014"/>
    <d v="2023-06-07T00:00:00"/>
    <x v="4"/>
    <x v="0"/>
    <n v="408.38"/>
    <n v="3"/>
    <x v="3"/>
    <n v="2468.29"/>
    <n v="2723.13"/>
    <x v="0"/>
    <n v="0.08"/>
    <s v="Cash"/>
    <x v="1"/>
    <s v="North-Alice"/>
    <x v="6"/>
    <n v="6"/>
    <n v="2023"/>
  </r>
  <r>
    <n v="1015"/>
    <d v="2023-02-08T00:00:00"/>
    <x v="2"/>
    <x v="3"/>
    <n v="2669.81"/>
    <n v="23"/>
    <x v="3"/>
    <n v="2644.77"/>
    <n v="2684.83"/>
    <x v="1"/>
    <n v="0.24"/>
    <s v="Cash"/>
    <x v="0"/>
    <s v="East-Charlie"/>
    <x v="0"/>
    <n v="2"/>
    <n v="2023"/>
  </r>
  <r>
    <n v="1031"/>
    <d v="2023-03-23T00:00:00"/>
    <x v="3"/>
    <x v="3"/>
    <n v="433.4"/>
    <n v="32"/>
    <x v="2"/>
    <n v="3351.33"/>
    <n v="3711.47"/>
    <x v="1"/>
    <n v="0.16"/>
    <s v="Cash"/>
    <x v="1"/>
    <s v="East-Eve"/>
    <x v="4"/>
    <n v="3"/>
    <n v="2023"/>
  </r>
  <r>
    <n v="1001"/>
    <d v="2023-12-22T00:00:00"/>
    <x v="1"/>
    <x v="1"/>
    <n v="8803.94"/>
    <n v="45"/>
    <x v="2"/>
    <n v="1372.36"/>
    <n v="1687.83"/>
    <x v="1"/>
    <n v="0.02"/>
    <s v="Credit Card"/>
    <x v="0"/>
    <s v="West-David"/>
    <x v="9"/>
    <n v="12"/>
    <n v="2023"/>
  </r>
  <r>
    <n v="1054"/>
    <d v="2023-09-15T00:00:00"/>
    <x v="0"/>
    <x v="2"/>
    <n v="2509.63"/>
    <n v="16"/>
    <x v="3"/>
    <n v="4557.79"/>
    <n v="5043.3599999999997"/>
    <x v="0"/>
    <n v="0.14000000000000001"/>
    <s v="Credit Card"/>
    <x v="1"/>
    <s v="South-Bob"/>
    <x v="2"/>
    <n v="9"/>
    <n v="2023"/>
  </r>
  <r>
    <n v="1003"/>
    <d v="2023-07-25T00:00:00"/>
    <x v="3"/>
    <x v="1"/>
    <n v="5617.64"/>
    <n v="5"/>
    <x v="1"/>
    <n v="2206.58"/>
    <n v="2490.4699999999998"/>
    <x v="1"/>
    <n v="0.28000000000000003"/>
    <s v="Cash"/>
    <x v="0"/>
    <s v="West-Eve"/>
    <x v="11"/>
    <n v="7"/>
    <n v="2023"/>
  </r>
  <r>
    <n v="1016"/>
    <d v="2023-03-18T00:00:00"/>
    <x v="1"/>
    <x v="2"/>
    <n v="485.9"/>
    <n v="4"/>
    <x v="1"/>
    <n v="688.98"/>
    <n v="863.81"/>
    <x v="1"/>
    <n v="0.27"/>
    <s v="Credit Card"/>
    <x v="1"/>
    <s v="South-David"/>
    <x v="4"/>
    <n v="3"/>
    <n v="2023"/>
  </r>
  <r>
    <n v="1087"/>
    <d v="2023-01-12T00:00:00"/>
    <x v="2"/>
    <x v="0"/>
    <n v="6701.79"/>
    <n v="21"/>
    <x v="1"/>
    <n v="3724.38"/>
    <n v="3988.7"/>
    <x v="1"/>
    <n v="0.03"/>
    <s v="Bank Transfer"/>
    <x v="1"/>
    <s v="North-Charlie"/>
    <x v="5"/>
    <n v="1"/>
    <n v="2023"/>
  </r>
  <r>
    <n v="1057"/>
    <d v="2023-10-22T00:00:00"/>
    <x v="3"/>
    <x v="2"/>
    <n v="3297.97"/>
    <n v="40"/>
    <x v="2"/>
    <n v="3233.37"/>
    <n v="3723.21"/>
    <x v="1"/>
    <n v="0.22"/>
    <s v="Bank Transfer"/>
    <x v="1"/>
    <s v="South-Eve"/>
    <x v="7"/>
    <n v="10"/>
    <n v="2023"/>
  </r>
  <r>
    <n v="1075"/>
    <d v="2023-08-12T00:00:00"/>
    <x v="1"/>
    <x v="3"/>
    <n v="8989.4"/>
    <n v="14"/>
    <x v="0"/>
    <n v="1612.93"/>
    <n v="1964.15"/>
    <x v="0"/>
    <n v="0.24"/>
    <s v="Bank Transfer"/>
    <x v="1"/>
    <s v="East-David"/>
    <x v="3"/>
    <n v="8"/>
    <n v="2023"/>
  </r>
  <r>
    <n v="1012"/>
    <d v="2023-01-13T00:00:00"/>
    <x v="4"/>
    <x v="3"/>
    <n v="8892.3700000000008"/>
    <n v="39"/>
    <x v="0"/>
    <n v="3126.52"/>
    <n v="3465.79"/>
    <x v="1"/>
    <n v="0.08"/>
    <s v="Cash"/>
    <x v="0"/>
    <s v="East-Alice"/>
    <x v="5"/>
    <n v="1"/>
    <n v="2023"/>
  </r>
  <r>
    <n v="1074"/>
    <d v="2023-02-15T00:00:00"/>
    <x v="4"/>
    <x v="2"/>
    <n v="3320.38"/>
    <n v="31"/>
    <x v="0"/>
    <n v="1138.32"/>
    <n v="1266.25"/>
    <x v="0"/>
    <n v="0.14000000000000001"/>
    <s v="Cash"/>
    <x v="1"/>
    <s v="South-Alice"/>
    <x v="0"/>
    <n v="2"/>
    <n v="2023"/>
  </r>
  <r>
    <n v="1096"/>
    <d v="2023-06-04T00:00:00"/>
    <x v="0"/>
    <x v="2"/>
    <n v="9019.51"/>
    <n v="14"/>
    <x v="0"/>
    <n v="2251.9499999999998"/>
    <n v="2626.3199999999902"/>
    <x v="0"/>
    <n v="0.21"/>
    <s v="Credit Card"/>
    <x v="0"/>
    <s v="South-Bob"/>
    <x v="6"/>
    <n v="6"/>
    <n v="2023"/>
  </r>
  <r>
    <n v="1016"/>
    <d v="2023-04-23T00:00:00"/>
    <x v="1"/>
    <x v="2"/>
    <n v="9961.9599999999991"/>
    <n v="6"/>
    <x v="0"/>
    <n v="4502.09"/>
    <n v="4879.72"/>
    <x v="1"/>
    <n v="0.13"/>
    <s v="Credit Card"/>
    <x v="0"/>
    <s v="South-David"/>
    <x v="1"/>
    <n v="4"/>
    <n v="2023"/>
  </r>
  <r>
    <n v="1072"/>
    <d v="2023-08-21T00:00:00"/>
    <x v="4"/>
    <x v="1"/>
    <n v="8271.6200000000008"/>
    <n v="12"/>
    <x v="2"/>
    <n v="710.99"/>
    <n v="876.46"/>
    <x v="0"/>
    <n v="0.03"/>
    <s v="Credit Card"/>
    <x v="0"/>
    <s v="West-Alice"/>
    <x v="3"/>
    <n v="8"/>
    <n v="2023"/>
  </r>
  <r>
    <n v="1076"/>
    <d v="2023-01-17T00:00:00"/>
    <x v="2"/>
    <x v="2"/>
    <n v="8464.23"/>
    <n v="16"/>
    <x v="2"/>
    <n v="1964.15"/>
    <n v="2211.17"/>
    <x v="0"/>
    <n v="0.21"/>
    <s v="Bank Transfer"/>
    <x v="0"/>
    <s v="South-Charlie"/>
    <x v="5"/>
    <n v="1"/>
    <n v="2023"/>
  </r>
  <r>
    <n v="1024"/>
    <d v="2023-12-26T00:00:00"/>
    <x v="1"/>
    <x v="0"/>
    <n v="2565.19"/>
    <n v="17"/>
    <x v="0"/>
    <n v="4114.66"/>
    <n v="4269.0199999999904"/>
    <x v="0"/>
    <n v="0.27"/>
    <s v="Bank Transfer"/>
    <x v="1"/>
    <s v="North-David"/>
    <x v="9"/>
    <n v="12"/>
    <n v="2023"/>
  </r>
  <r>
    <n v="1028"/>
    <d v="2023-08-11T00:00:00"/>
    <x v="2"/>
    <x v="1"/>
    <n v="5809.35"/>
    <n v="45"/>
    <x v="2"/>
    <n v="4848.9799999999996"/>
    <n v="4985.75"/>
    <x v="0"/>
    <n v="0.2"/>
    <s v="Bank Transfer"/>
    <x v="0"/>
    <s v="West-Charlie"/>
    <x v="3"/>
    <n v="8"/>
    <n v="2023"/>
  </r>
  <r>
    <n v="1008"/>
    <d v="2023-12-20T00:00:00"/>
    <x v="2"/>
    <x v="1"/>
    <n v="765.83"/>
    <n v="23"/>
    <x v="2"/>
    <n v="2296.9299999999998"/>
    <n v="2319.62"/>
    <x v="0"/>
    <n v="0.23"/>
    <s v="Bank Transfer"/>
    <x v="1"/>
    <s v="West-Charlie"/>
    <x v="9"/>
    <n v="12"/>
    <n v="2023"/>
  </r>
  <r>
    <n v="1092"/>
    <d v="2023-07-07T00:00:00"/>
    <x v="4"/>
    <x v="2"/>
    <n v="1039.69"/>
    <n v="14"/>
    <x v="0"/>
    <n v="2559.65"/>
    <n v="2709.4"/>
    <x v="0"/>
    <n v="0.11"/>
    <s v="Credit Card"/>
    <x v="1"/>
    <s v="South-Alice"/>
    <x v="11"/>
    <n v="7"/>
    <n v="2023"/>
  </r>
  <r>
    <n v="1036"/>
    <d v="2023-12-10T00:00:00"/>
    <x v="1"/>
    <x v="0"/>
    <n v="9989.0400000000009"/>
    <n v="7"/>
    <x v="1"/>
    <n v="2882.25"/>
    <n v="3163.7"/>
    <x v="0"/>
    <n v="0.05"/>
    <s v="Cash"/>
    <x v="1"/>
    <s v="North-David"/>
    <x v="9"/>
    <n v="12"/>
    <n v="2023"/>
  </r>
  <r>
    <n v="1090"/>
    <d v="2023-12-31T00:00:00"/>
    <x v="3"/>
    <x v="1"/>
    <n v="3333.73"/>
    <n v="46"/>
    <x v="2"/>
    <n v="4665.12"/>
    <n v="4675.8999999999996"/>
    <x v="1"/>
    <n v="0.19"/>
    <s v="Cash"/>
    <x v="1"/>
    <s v="West-Eve"/>
    <x v="9"/>
    <n v="12"/>
    <n v="2023"/>
  </r>
  <r>
    <n v="1008"/>
    <d v="2023-06-12T00:00:00"/>
    <x v="4"/>
    <x v="3"/>
    <n v="7507.02"/>
    <n v="32"/>
    <x v="1"/>
    <n v="4298.12"/>
    <n v="4446.8999999999996"/>
    <x v="1"/>
    <n v="0.1"/>
    <s v="Bank Transfer"/>
    <x v="0"/>
    <s v="East-Alice"/>
    <x v="6"/>
    <n v="6"/>
    <n v="2023"/>
  </r>
  <r>
    <n v="1058"/>
    <d v="2023-11-22T00:00:00"/>
    <x v="4"/>
    <x v="1"/>
    <n v="8085.98"/>
    <n v="15"/>
    <x v="2"/>
    <n v="894.48"/>
    <n v="1336.37"/>
    <x v="0"/>
    <n v="0.26"/>
    <s v="Cash"/>
    <x v="1"/>
    <s v="West-Alice"/>
    <x v="8"/>
    <n v="11"/>
    <n v="2023"/>
  </r>
  <r>
    <n v="1060"/>
    <d v="2023-03-15T00:00:00"/>
    <x v="1"/>
    <x v="2"/>
    <n v="8594.43"/>
    <n v="44"/>
    <x v="2"/>
    <n v="2211.9499999999998"/>
    <n v="2512.8399999999901"/>
    <x v="0"/>
    <n v="0.04"/>
    <s v="Cash"/>
    <x v="0"/>
    <s v="South-David"/>
    <x v="4"/>
    <n v="3"/>
    <n v="2023"/>
  </r>
  <r>
    <n v="1050"/>
    <d v="2023-08-21T00:00:00"/>
    <x v="1"/>
    <x v="0"/>
    <n v="9976.52"/>
    <n v="17"/>
    <x v="0"/>
    <n v="2346.8000000000002"/>
    <n v="2654.65"/>
    <x v="1"/>
    <n v="0.13"/>
    <s v="Cash"/>
    <x v="1"/>
    <s v="North-David"/>
    <x v="3"/>
    <n v="8"/>
    <n v="2023"/>
  </r>
  <r>
    <n v="1028"/>
    <d v="2023-08-12T00:00:00"/>
    <x v="2"/>
    <x v="2"/>
    <n v="2490.8200000000002"/>
    <n v="41"/>
    <x v="2"/>
    <n v="3956.03"/>
    <n v="4163.68"/>
    <x v="1"/>
    <n v="0.12"/>
    <s v="Bank Transfer"/>
    <x v="1"/>
    <s v="South-Charlie"/>
    <x v="3"/>
    <n v="8"/>
    <n v="2023"/>
  </r>
  <r>
    <n v="1092"/>
    <d v="2023-11-15T00:00:00"/>
    <x v="1"/>
    <x v="3"/>
    <n v="499.47"/>
    <n v="47"/>
    <x v="3"/>
    <n v="3034.32"/>
    <n v="3375.79"/>
    <x v="1"/>
    <n v="0.28000000000000003"/>
    <s v="Credit Card"/>
    <x v="0"/>
    <s v="East-David"/>
    <x v="8"/>
    <n v="11"/>
    <n v="2023"/>
  </r>
  <r>
    <n v="1041"/>
    <d v="2023-03-01T00:00:00"/>
    <x v="2"/>
    <x v="3"/>
    <n v="4170.8"/>
    <n v="44"/>
    <x v="3"/>
    <n v="3288.39"/>
    <n v="3391.46"/>
    <x v="1"/>
    <n v="0.05"/>
    <s v="Credit Card"/>
    <x v="1"/>
    <s v="East-Charlie"/>
    <x v="4"/>
    <n v="3"/>
    <n v="2023"/>
  </r>
  <r>
    <n v="1100"/>
    <d v="2023-12-01T00:00:00"/>
    <x v="4"/>
    <x v="3"/>
    <n v="1387.8"/>
    <n v="34"/>
    <x v="0"/>
    <n v="4991.09"/>
    <n v="5402.28"/>
    <x v="0"/>
    <n v="0"/>
    <s v="Cash"/>
    <x v="1"/>
    <s v="East-Alice"/>
    <x v="9"/>
    <n v="12"/>
    <n v="2023"/>
  </r>
  <r>
    <n v="1064"/>
    <d v="2023-08-10T00:00:00"/>
    <x v="0"/>
    <x v="2"/>
    <n v="322.02"/>
    <n v="5"/>
    <x v="1"/>
    <n v="421.05"/>
    <n v="488.23"/>
    <x v="0"/>
    <n v="7.0000000000000007E-2"/>
    <s v="Credit Card"/>
    <x v="1"/>
    <s v="South-Bob"/>
    <x v="3"/>
    <n v="8"/>
    <n v="2023"/>
  </r>
  <r>
    <n v="1027"/>
    <d v="2023-02-06T00:00:00"/>
    <x v="3"/>
    <x v="1"/>
    <n v="3668.23"/>
    <n v="45"/>
    <x v="1"/>
    <n v="1153.9000000000001"/>
    <n v="1485.34"/>
    <x v="1"/>
    <n v="0.25"/>
    <s v="Credit Card"/>
    <x v="1"/>
    <s v="West-Eve"/>
    <x v="0"/>
    <n v="2"/>
    <n v="2023"/>
  </r>
  <r>
    <n v="1063"/>
    <d v="2023-10-05T00:00:00"/>
    <x v="4"/>
    <x v="2"/>
    <n v="7859.01"/>
    <n v="27"/>
    <x v="1"/>
    <n v="2069.08"/>
    <n v="2246.2399999999998"/>
    <x v="1"/>
    <n v="0.06"/>
    <s v="Bank Transfer"/>
    <x v="1"/>
    <s v="South-Alice"/>
    <x v="7"/>
    <n v="10"/>
    <n v="2023"/>
  </r>
  <r>
    <n v="1017"/>
    <d v="2023-07-15T00:00:00"/>
    <x v="1"/>
    <x v="0"/>
    <n v="5705.19"/>
    <n v="23"/>
    <x v="3"/>
    <n v="1771.52"/>
    <n v="2147.8000000000002"/>
    <x v="1"/>
    <n v="7.0000000000000007E-2"/>
    <s v="Bank Transfer"/>
    <x v="0"/>
    <s v="North-David"/>
    <x v="11"/>
    <n v="7"/>
    <n v="2023"/>
  </r>
  <r>
    <n v="1073"/>
    <d v="2023-12-18T00:00:00"/>
    <x v="3"/>
    <x v="1"/>
    <n v="3196.5"/>
    <n v="40"/>
    <x v="1"/>
    <n v="157.15"/>
    <n v="436.53"/>
    <x v="1"/>
    <n v="0.04"/>
    <s v="Cash"/>
    <x v="1"/>
    <s v="West-Eve"/>
    <x v="9"/>
    <n v="12"/>
    <n v="2023"/>
  </r>
  <r>
    <n v="1033"/>
    <d v="2023-08-30T00:00:00"/>
    <x v="0"/>
    <x v="3"/>
    <n v="6577.99"/>
    <n v="14"/>
    <x v="1"/>
    <n v="504.3"/>
    <n v="735.95"/>
    <x v="0"/>
    <n v="0.21"/>
    <s v="Cash"/>
    <x v="1"/>
    <s v="East-Bob"/>
    <x v="3"/>
    <n v="8"/>
    <n v="2023"/>
  </r>
  <r>
    <n v="1084"/>
    <d v="2023-11-20T00:00:00"/>
    <x v="0"/>
    <x v="2"/>
    <n v="2396.98"/>
    <n v="15"/>
    <x v="0"/>
    <n v="3420.72"/>
    <n v="3513.74"/>
    <x v="1"/>
    <n v="0.02"/>
    <s v="Cash"/>
    <x v="0"/>
    <s v="South-Bob"/>
    <x v="8"/>
    <n v="11"/>
    <n v="2023"/>
  </r>
  <r>
    <n v="1077"/>
    <d v="2023-08-07T00:00:00"/>
    <x v="2"/>
    <x v="3"/>
    <n v="242.38"/>
    <n v="43"/>
    <x v="1"/>
    <n v="4402.66"/>
    <n v="4724.7"/>
    <x v="1"/>
    <n v="0.1"/>
    <s v="Bank Transfer"/>
    <x v="1"/>
    <s v="East-Charlie"/>
    <x v="3"/>
    <n v="8"/>
    <n v="2023"/>
  </r>
  <r>
    <n v="1092"/>
    <d v="2023-07-11T00:00:00"/>
    <x v="3"/>
    <x v="3"/>
    <n v="7667.1"/>
    <n v="33"/>
    <x v="3"/>
    <n v="2595.42"/>
    <n v="3083.06"/>
    <x v="1"/>
    <n v="0.08"/>
    <s v="Credit Card"/>
    <x v="0"/>
    <s v="East-Eve"/>
    <x v="11"/>
    <n v="7"/>
    <n v="2023"/>
  </r>
  <r>
    <n v="1029"/>
    <d v="2023-01-17T00:00:00"/>
    <x v="2"/>
    <x v="0"/>
    <n v="6275.06"/>
    <n v="31"/>
    <x v="3"/>
    <n v="2719"/>
    <n v="3133.55"/>
    <x v="0"/>
    <n v="0.17"/>
    <s v="Bank Transfer"/>
    <x v="1"/>
    <s v="North-Charlie"/>
    <x v="5"/>
    <n v="1"/>
    <n v="2023"/>
  </r>
  <r>
    <n v="1013"/>
    <d v="2023-01-12T00:00:00"/>
    <x v="4"/>
    <x v="1"/>
    <n v="7646.8"/>
    <n v="35"/>
    <x v="3"/>
    <n v="1312.71"/>
    <n v="1352.11"/>
    <x v="0"/>
    <n v="0.22"/>
    <s v="Bank Transfer"/>
    <x v="1"/>
    <s v="West-Alice"/>
    <x v="5"/>
    <n v="1"/>
    <n v="2023"/>
  </r>
  <r>
    <n v="1046"/>
    <d v="2023-07-12T00:00:00"/>
    <x v="3"/>
    <x v="0"/>
    <n v="485.49"/>
    <n v="17"/>
    <x v="0"/>
    <n v="3850.99"/>
    <n v="4045.3399999999901"/>
    <x v="0"/>
    <n v="0.16"/>
    <s v="Credit Card"/>
    <x v="0"/>
    <s v="North-Eve"/>
    <x v="11"/>
    <n v="7"/>
    <n v="2023"/>
  </r>
  <r>
    <n v="1035"/>
    <d v="2023-01-22T00:00:00"/>
    <x v="4"/>
    <x v="0"/>
    <n v="8387.48"/>
    <n v="28"/>
    <x v="0"/>
    <n v="3771.38"/>
    <n v="4234.92"/>
    <x v="1"/>
    <n v="0.28000000000000003"/>
    <s v="Credit Card"/>
    <x v="1"/>
    <s v="North-Alice"/>
    <x v="5"/>
    <n v="1"/>
    <n v="2023"/>
  </r>
  <r>
    <n v="1006"/>
    <d v="2023-04-30T00:00:00"/>
    <x v="2"/>
    <x v="0"/>
    <n v="6233.31"/>
    <n v="19"/>
    <x v="2"/>
    <n v="2962.41"/>
    <n v="3218.8999999999901"/>
    <x v="1"/>
    <n v="0.28999999999999998"/>
    <s v="Cash"/>
    <x v="1"/>
    <s v="North-Charlie"/>
    <x v="1"/>
    <n v="4"/>
    <n v="2023"/>
  </r>
  <r>
    <n v="1082"/>
    <d v="2023-07-29T00:00:00"/>
    <x v="3"/>
    <x v="3"/>
    <n v="5677.61"/>
    <n v="46"/>
    <x v="1"/>
    <n v="1102.69"/>
    <n v="1437.12"/>
    <x v="1"/>
    <n v="0.11"/>
    <s v="Credit Card"/>
    <x v="0"/>
    <s v="East-Eve"/>
    <x v="11"/>
    <n v="7"/>
    <n v="2023"/>
  </r>
  <r>
    <n v="1069"/>
    <d v="2023-11-02T00:00:00"/>
    <x v="2"/>
    <x v="0"/>
    <n v="6283.68"/>
    <n v="23"/>
    <x v="0"/>
    <n v="530.24"/>
    <n v="987.41"/>
    <x v="0"/>
    <n v="0.23"/>
    <s v="Credit Card"/>
    <x v="0"/>
    <s v="North-Charlie"/>
    <x v="8"/>
    <n v="11"/>
    <n v="2023"/>
  </r>
  <r>
    <n v="1047"/>
    <d v="2023-09-27T00:00:00"/>
    <x v="3"/>
    <x v="0"/>
    <n v="8657.89"/>
    <n v="32"/>
    <x v="3"/>
    <n v="367.98"/>
    <n v="806.14"/>
    <x v="0"/>
    <n v="0.22"/>
    <s v="Credit Card"/>
    <x v="1"/>
    <s v="North-Eve"/>
    <x v="2"/>
    <n v="9"/>
    <n v="2023"/>
  </r>
  <r>
    <n v="1025"/>
    <d v="2023-07-11T00:00:00"/>
    <x v="2"/>
    <x v="1"/>
    <n v="5910.67"/>
    <n v="40"/>
    <x v="3"/>
    <n v="2983.85"/>
    <n v="3239.74"/>
    <x v="1"/>
    <n v="0.27"/>
    <s v="Credit Card"/>
    <x v="0"/>
    <s v="West-Charlie"/>
    <x v="11"/>
    <n v="7"/>
    <n v="2023"/>
  </r>
  <r>
    <n v="1066"/>
    <d v="2023-06-24T00:00:00"/>
    <x v="0"/>
    <x v="1"/>
    <n v="5851.41"/>
    <n v="13"/>
    <x v="0"/>
    <n v="4133.92"/>
    <n v="4358.37"/>
    <x v="1"/>
    <n v="0.13"/>
    <s v="Cash"/>
    <x v="1"/>
    <s v="West-Bob"/>
    <x v="6"/>
    <n v="6"/>
    <n v="2023"/>
  </r>
  <r>
    <n v="1010"/>
    <d v="2023-10-12T00:00:00"/>
    <x v="2"/>
    <x v="0"/>
    <n v="9907.7199999999993"/>
    <n v="20"/>
    <x v="0"/>
    <n v="4298.74"/>
    <n v="4475.1899999999996"/>
    <x v="0"/>
    <n v="0.16"/>
    <s v="Cash"/>
    <x v="0"/>
    <s v="North-Charlie"/>
    <x v="7"/>
    <n v="10"/>
    <n v="2023"/>
  </r>
  <r>
    <n v="1056"/>
    <d v="2023-07-23T00:00:00"/>
    <x v="0"/>
    <x v="1"/>
    <n v="7591.63"/>
    <n v="35"/>
    <x v="0"/>
    <n v="2344.9299999999998"/>
    <n v="2707.25"/>
    <x v="1"/>
    <n v="0.12"/>
    <s v="Credit Card"/>
    <x v="1"/>
    <s v="West-Bob"/>
    <x v="11"/>
    <n v="7"/>
    <n v="2023"/>
  </r>
  <r>
    <n v="1030"/>
    <d v="2023-06-13T00:00:00"/>
    <x v="2"/>
    <x v="1"/>
    <n v="4478.71"/>
    <n v="5"/>
    <x v="2"/>
    <n v="3932.14"/>
    <n v="4082.7599999999902"/>
    <x v="1"/>
    <n v="0.26"/>
    <s v="Credit Card"/>
    <x v="0"/>
    <s v="West-Charlie"/>
    <x v="6"/>
    <n v="6"/>
    <n v="2023"/>
  </r>
  <r>
    <n v="1005"/>
    <d v="2023-09-08T00:00:00"/>
    <x v="3"/>
    <x v="0"/>
    <n v="7103.23"/>
    <n v="9"/>
    <x v="3"/>
    <n v="4737.0600000000004"/>
    <n v="4869.5"/>
    <x v="1"/>
    <n v="7.0000000000000007E-2"/>
    <s v="Cash"/>
    <x v="0"/>
    <s v="North-Eve"/>
    <x v="2"/>
    <n v="9"/>
    <n v="2023"/>
  </r>
  <r>
    <n v="1033"/>
    <d v="2023-08-15T00:00:00"/>
    <x v="3"/>
    <x v="3"/>
    <n v="3953.38"/>
    <n v="29"/>
    <x v="2"/>
    <n v="1412.09"/>
    <n v="1596.6499999999901"/>
    <x v="0"/>
    <n v="7.0000000000000007E-2"/>
    <s v="Cash"/>
    <x v="0"/>
    <s v="East-Eve"/>
    <x v="3"/>
    <n v="8"/>
    <n v="2023"/>
  </r>
  <r>
    <n v="1065"/>
    <d v="2023-01-07T00:00:00"/>
    <x v="3"/>
    <x v="0"/>
    <n v="2365.87"/>
    <n v="6"/>
    <x v="2"/>
    <n v="2019.9"/>
    <n v="2116.7399999999998"/>
    <x v="1"/>
    <n v="0.11"/>
    <s v="Credit Card"/>
    <x v="0"/>
    <s v="North-Eve"/>
    <x v="5"/>
    <n v="1"/>
    <n v="2023"/>
  </r>
  <r>
    <n v="1018"/>
    <d v="2023-01-29T00:00:00"/>
    <x v="1"/>
    <x v="1"/>
    <n v="6008.83"/>
    <n v="25"/>
    <x v="1"/>
    <n v="4660.82"/>
    <n v="5011.4299999999903"/>
    <x v="1"/>
    <n v="7.0000000000000007E-2"/>
    <s v="Bank Transfer"/>
    <x v="0"/>
    <s v="West-David"/>
    <x v="5"/>
    <n v="1"/>
    <n v="2023"/>
  </r>
  <r>
    <n v="1096"/>
    <d v="2023-02-02T00:00:00"/>
    <x v="4"/>
    <x v="3"/>
    <n v="9289"/>
    <n v="31"/>
    <x v="3"/>
    <n v="1724.24"/>
    <n v="2036.2"/>
    <x v="1"/>
    <n v="0.17"/>
    <s v="Cash"/>
    <x v="0"/>
    <s v="East-Alice"/>
    <x v="0"/>
    <n v="2"/>
    <n v="2023"/>
  </r>
  <r>
    <n v="1049"/>
    <d v="2023-05-14T00:00:00"/>
    <x v="3"/>
    <x v="2"/>
    <n v="9298.48"/>
    <n v="22"/>
    <x v="3"/>
    <n v="4573.6899999999996"/>
    <n v="4820.2999999999902"/>
    <x v="1"/>
    <n v="0.04"/>
    <s v="Cash"/>
    <x v="0"/>
    <s v="South-Eve"/>
    <x v="10"/>
    <n v="5"/>
    <n v="2023"/>
  </r>
  <r>
    <n v="1011"/>
    <d v="2023-03-20T00:00:00"/>
    <x v="0"/>
    <x v="3"/>
    <n v="3484.86"/>
    <n v="2"/>
    <x v="0"/>
    <n v="4906.17"/>
    <n v="5107.43"/>
    <x v="0"/>
    <n v="0.1"/>
    <s v="Cash"/>
    <x v="0"/>
    <s v="East-Bob"/>
    <x v="4"/>
    <n v="3"/>
    <n v="2023"/>
  </r>
  <r>
    <n v="1085"/>
    <d v="2023-02-27T00:00:00"/>
    <x v="3"/>
    <x v="1"/>
    <n v="5324.01"/>
    <n v="45"/>
    <x v="0"/>
    <n v="3325.96"/>
    <n v="3781.4"/>
    <x v="0"/>
    <n v="0.27"/>
    <s v="Credit Card"/>
    <x v="0"/>
    <s v="West-Eve"/>
    <x v="0"/>
    <n v="2"/>
    <n v="2023"/>
  </r>
  <r>
    <n v="1026"/>
    <d v="2023-01-26T00:00:00"/>
    <x v="1"/>
    <x v="3"/>
    <n v="2195.1999999999998"/>
    <n v="5"/>
    <x v="1"/>
    <n v="4093.61"/>
    <n v="4117.88"/>
    <x v="0"/>
    <n v="0.12"/>
    <s v="Credit Card"/>
    <x v="1"/>
    <s v="East-David"/>
    <x v="5"/>
    <n v="1"/>
    <n v="2023"/>
  </r>
  <r>
    <n v="1063"/>
    <d v="2023-08-14T00:00:00"/>
    <x v="0"/>
    <x v="0"/>
    <n v="9956.75"/>
    <n v="27"/>
    <x v="2"/>
    <n v="3760.25"/>
    <n v="4147.1099999999997"/>
    <x v="1"/>
    <n v="0.22"/>
    <s v="Cash"/>
    <x v="0"/>
    <s v="North-Bob"/>
    <x v="3"/>
    <n v="8"/>
    <n v="2023"/>
  </r>
  <r>
    <n v="1089"/>
    <d v="2023-10-12T00:00:00"/>
    <x v="1"/>
    <x v="2"/>
    <n v="9813.07"/>
    <n v="25"/>
    <x v="0"/>
    <n v="3512.69"/>
    <n v="3964.63"/>
    <x v="0"/>
    <n v="0.03"/>
    <s v="Credit Card"/>
    <x v="1"/>
    <s v="South-David"/>
    <x v="7"/>
    <n v="10"/>
    <n v="2023"/>
  </r>
  <r>
    <n v="1086"/>
    <d v="2023-01-04T00:00:00"/>
    <x v="0"/>
    <x v="2"/>
    <n v="6530.14"/>
    <n v="8"/>
    <x v="0"/>
    <n v="1569.31"/>
    <n v="1798.02"/>
    <x v="1"/>
    <n v="7.0000000000000007E-2"/>
    <s v="Credit Card"/>
    <x v="0"/>
    <s v="South-Bob"/>
    <x v="5"/>
    <n v="1"/>
    <n v="2023"/>
  </r>
  <r>
    <n v="1059"/>
    <d v="2023-04-09T00:00:00"/>
    <x v="2"/>
    <x v="2"/>
    <n v="8063.7"/>
    <n v="1"/>
    <x v="3"/>
    <n v="332.62"/>
    <n v="612.46"/>
    <x v="0"/>
    <n v="0.24"/>
    <s v="Cash"/>
    <x v="1"/>
    <s v="South-Charlie"/>
    <x v="1"/>
    <n v="4"/>
    <n v="2023"/>
  </r>
  <r>
    <n v="1027"/>
    <d v="2023-02-08T00:00:00"/>
    <x v="4"/>
    <x v="1"/>
    <n v="7179.49"/>
    <n v="20"/>
    <x v="3"/>
    <n v="1748.11"/>
    <n v="2220.9"/>
    <x v="1"/>
    <n v="0.23"/>
    <s v="Credit Card"/>
    <x v="1"/>
    <s v="West-Alice"/>
    <x v="0"/>
    <n v="2"/>
    <n v="2023"/>
  </r>
  <r>
    <n v="1049"/>
    <d v="2023-09-28T00:00:00"/>
    <x v="4"/>
    <x v="1"/>
    <n v="5972.27"/>
    <n v="44"/>
    <x v="0"/>
    <n v="3351.33"/>
    <n v="3465.35"/>
    <x v="0"/>
    <n v="0.12"/>
    <s v="Bank Transfer"/>
    <x v="0"/>
    <s v="West-Alice"/>
    <x v="2"/>
    <n v="9"/>
    <n v="2023"/>
  </r>
  <r>
    <n v="1077"/>
    <d v="2023-10-12T00:00:00"/>
    <x v="1"/>
    <x v="2"/>
    <n v="628.15"/>
    <n v="23"/>
    <x v="3"/>
    <n v="557.52"/>
    <n v="822.39"/>
    <x v="0"/>
    <n v="0.28999999999999998"/>
    <s v="Credit Card"/>
    <x v="0"/>
    <s v="South-David"/>
    <x v="7"/>
    <n v="10"/>
    <n v="2023"/>
  </r>
  <r>
    <n v="1033"/>
    <d v="2023-06-06T00:00:00"/>
    <x v="4"/>
    <x v="3"/>
    <n v="4602.17"/>
    <n v="32"/>
    <x v="1"/>
    <n v="108.99"/>
    <n v="351.6"/>
    <x v="0"/>
    <n v="0.27"/>
    <s v="Credit Card"/>
    <x v="1"/>
    <s v="East-Alice"/>
    <x v="6"/>
    <n v="6"/>
    <n v="2023"/>
  </r>
  <r>
    <n v="1098"/>
    <d v="2023-03-16T00:00:00"/>
    <x v="1"/>
    <x v="2"/>
    <n v="6780.38"/>
    <n v="11"/>
    <x v="0"/>
    <n v="741.48"/>
    <n v="878.09"/>
    <x v="1"/>
    <n v="0.28999999999999998"/>
    <s v="Cash"/>
    <x v="1"/>
    <s v="South-David"/>
    <x v="4"/>
    <n v="3"/>
    <n v="2023"/>
  </r>
  <r>
    <n v="1099"/>
    <d v="2023-10-15T00:00:00"/>
    <x v="1"/>
    <x v="3"/>
    <n v="6807.56"/>
    <n v="39"/>
    <x v="3"/>
    <n v="3592.89"/>
    <n v="4004"/>
    <x v="1"/>
    <n v="0.13"/>
    <s v="Cash"/>
    <x v="0"/>
    <s v="East-David"/>
    <x v="7"/>
    <n v="10"/>
    <n v="2023"/>
  </r>
  <r>
    <n v="1001"/>
    <d v="2023-05-10T00:00:00"/>
    <x v="1"/>
    <x v="3"/>
    <n v="3793.91"/>
    <n v="47"/>
    <x v="1"/>
    <n v="4865.33"/>
    <n v="5316.13"/>
    <x v="1"/>
    <n v="0.06"/>
    <s v="Bank Transfer"/>
    <x v="0"/>
    <s v="East-David"/>
    <x v="10"/>
    <n v="5"/>
    <n v="2023"/>
  </r>
  <r>
    <n v="1021"/>
    <d v="2023-06-24T00:00:00"/>
    <x v="4"/>
    <x v="1"/>
    <n v="9422.75"/>
    <n v="24"/>
    <x v="3"/>
    <n v="4916.17"/>
    <n v="5309.32"/>
    <x v="0"/>
    <n v="0.19"/>
    <s v="Credit Card"/>
    <x v="0"/>
    <s v="West-Alice"/>
    <x v="6"/>
    <n v="6"/>
    <n v="2023"/>
  </r>
  <r>
    <n v="1055"/>
    <d v="2023-03-25T00:00:00"/>
    <x v="1"/>
    <x v="3"/>
    <n v="1756.83"/>
    <n v="11"/>
    <x v="3"/>
    <n v="2495.1999999999998"/>
    <n v="2600.9299999999998"/>
    <x v="1"/>
    <n v="0.21"/>
    <s v="Bank Transfer"/>
    <x v="1"/>
    <s v="East-David"/>
    <x v="4"/>
    <n v="3"/>
    <n v="2023"/>
  </r>
  <r>
    <n v="1006"/>
    <d v="2023-01-22T00:00:00"/>
    <x v="4"/>
    <x v="2"/>
    <n v="5053.5600000000004"/>
    <n v="29"/>
    <x v="3"/>
    <n v="4353.29"/>
    <n v="4405.8"/>
    <x v="1"/>
    <n v="0.04"/>
    <s v="Bank Transfer"/>
    <x v="0"/>
    <s v="South-Alice"/>
    <x v="5"/>
    <n v="1"/>
    <n v="2023"/>
  </r>
  <r>
    <n v="1092"/>
    <d v="2023-01-27T00:00:00"/>
    <x v="1"/>
    <x v="1"/>
    <n v="6939.75"/>
    <n v="26"/>
    <x v="0"/>
    <n v="3697.29"/>
    <n v="4003.96"/>
    <x v="1"/>
    <n v="0.24"/>
    <s v="Cash"/>
    <x v="0"/>
    <s v="West-David"/>
    <x v="5"/>
    <n v="1"/>
    <n v="2023"/>
  </r>
  <r>
    <n v="1081"/>
    <d v="2023-07-14T00:00:00"/>
    <x v="3"/>
    <x v="0"/>
    <n v="7001.64"/>
    <n v="16"/>
    <x v="2"/>
    <n v="2530.15"/>
    <n v="2568.13"/>
    <x v="1"/>
    <n v="0.01"/>
    <s v="Credit Card"/>
    <x v="0"/>
    <s v="North-Eve"/>
    <x v="11"/>
    <n v="7"/>
    <n v="2023"/>
  </r>
  <r>
    <n v="1069"/>
    <d v="2023-12-03T00:00:00"/>
    <x v="1"/>
    <x v="0"/>
    <n v="6521.53"/>
    <n v="35"/>
    <x v="3"/>
    <n v="2885.16"/>
    <n v="3224.8399999999901"/>
    <x v="1"/>
    <n v="0.14000000000000001"/>
    <s v="Cash"/>
    <x v="0"/>
    <s v="North-David"/>
    <x v="9"/>
    <n v="12"/>
    <n v="2023"/>
  </r>
  <r>
    <n v="1095"/>
    <d v="2023-08-24T00:00:00"/>
    <x v="0"/>
    <x v="1"/>
    <n v="2825.35"/>
    <n v="20"/>
    <x v="1"/>
    <n v="729.27"/>
    <n v="999.18"/>
    <x v="1"/>
    <n v="0.1"/>
    <s v="Bank Transfer"/>
    <x v="0"/>
    <s v="West-Bob"/>
    <x v="3"/>
    <n v="8"/>
    <n v="2023"/>
  </r>
  <r>
    <n v="1005"/>
    <d v="2023-04-02T00:00:00"/>
    <x v="1"/>
    <x v="2"/>
    <n v="1646.45"/>
    <n v="46"/>
    <x v="0"/>
    <n v="4691.42"/>
    <n v="5026.1899999999996"/>
    <x v="0"/>
    <n v="0.22"/>
    <s v="Bank Transfer"/>
    <x v="1"/>
    <s v="South-David"/>
    <x v="1"/>
    <n v="4"/>
    <n v="2023"/>
  </r>
  <r>
    <n v="1003"/>
    <d v="2023-01-21T00:00:00"/>
    <x v="2"/>
    <x v="0"/>
    <n v="6395.81"/>
    <n v="3"/>
    <x v="0"/>
    <n v="1792.05"/>
    <n v="2091.23"/>
    <x v="0"/>
    <n v="0.09"/>
    <s v="Cash"/>
    <x v="1"/>
    <s v="North-Charlie"/>
    <x v="5"/>
    <n v="1"/>
    <n v="2023"/>
  </r>
  <r>
    <n v="1053"/>
    <d v="2023-10-30T00:00:00"/>
    <x v="1"/>
    <x v="0"/>
    <n v="6033.09"/>
    <n v="1"/>
    <x v="1"/>
    <n v="2258.44"/>
    <n v="2475.56"/>
    <x v="1"/>
    <n v="0.25"/>
    <s v="Cash"/>
    <x v="0"/>
    <s v="North-David"/>
    <x v="7"/>
    <n v="10"/>
    <n v="2023"/>
  </r>
  <r>
    <n v="1023"/>
    <d v="2023-12-23T00:00:00"/>
    <x v="0"/>
    <x v="3"/>
    <n v="1875.62"/>
    <n v="47"/>
    <x v="3"/>
    <n v="3374.72"/>
    <n v="3483.1499999999901"/>
    <x v="0"/>
    <n v="0.18"/>
    <s v="Cash"/>
    <x v="0"/>
    <s v="East-Bob"/>
    <x v="9"/>
    <n v="12"/>
    <n v="2023"/>
  </r>
  <r>
    <n v="1053"/>
    <d v="2023-03-25T00:00:00"/>
    <x v="0"/>
    <x v="3"/>
    <n v="7080.88"/>
    <n v="1"/>
    <x v="2"/>
    <n v="1702.82"/>
    <n v="1862.61"/>
    <x v="0"/>
    <n v="0.24"/>
    <s v="Cash"/>
    <x v="1"/>
    <s v="East-Bob"/>
    <x v="4"/>
    <n v="3"/>
    <n v="2023"/>
  </r>
  <r>
    <n v="1037"/>
    <d v="2023-09-19T00:00:00"/>
    <x v="4"/>
    <x v="2"/>
    <n v="4606.2"/>
    <n v="17"/>
    <x v="3"/>
    <n v="1308.58"/>
    <n v="1575.59"/>
    <x v="1"/>
    <n v="0.3"/>
    <s v="Cash"/>
    <x v="0"/>
    <s v="South-Alice"/>
    <x v="2"/>
    <n v="9"/>
    <n v="2023"/>
  </r>
  <r>
    <n v="1074"/>
    <d v="2023-05-27T00:00:00"/>
    <x v="3"/>
    <x v="1"/>
    <n v="6710.83"/>
    <n v="2"/>
    <x v="1"/>
    <n v="3173.69"/>
    <n v="3503.11"/>
    <x v="1"/>
    <n v="0.2"/>
    <s v="Bank Transfer"/>
    <x v="1"/>
    <s v="West-Eve"/>
    <x v="10"/>
    <n v="5"/>
    <n v="2023"/>
  </r>
  <r>
    <n v="1074"/>
    <d v="2023-09-14T00:00:00"/>
    <x v="1"/>
    <x v="2"/>
    <n v="8389.93"/>
    <n v="29"/>
    <x v="0"/>
    <n v="173.67"/>
    <n v="565.62"/>
    <x v="0"/>
    <n v="0.3"/>
    <s v="Cash"/>
    <x v="0"/>
    <s v="South-David"/>
    <x v="2"/>
    <n v="9"/>
    <n v="2023"/>
  </r>
  <r>
    <n v="1083"/>
    <d v="2023-02-27T00:00:00"/>
    <x v="4"/>
    <x v="1"/>
    <n v="1780.31"/>
    <n v="20"/>
    <x v="2"/>
    <n v="3617.59"/>
    <n v="4003.5"/>
    <x v="1"/>
    <n v="0.01"/>
    <s v="Credit Card"/>
    <x v="1"/>
    <s v="West-Alice"/>
    <x v="0"/>
    <n v="2"/>
    <n v="2023"/>
  </r>
  <r>
    <n v="1017"/>
    <d v="2023-01-15T00:00:00"/>
    <x v="3"/>
    <x v="0"/>
    <n v="289.52999999999997"/>
    <n v="6"/>
    <x v="0"/>
    <n v="2594.42"/>
    <n v="3081.04"/>
    <x v="0"/>
    <n v="0.1"/>
    <s v="Bank Transfer"/>
    <x v="1"/>
    <s v="North-Eve"/>
    <x v="5"/>
    <n v="1"/>
    <n v="2023"/>
  </r>
  <r>
    <n v="1085"/>
    <d v="2023-06-11T00:00:00"/>
    <x v="1"/>
    <x v="3"/>
    <n v="7813.12"/>
    <n v="8"/>
    <x v="1"/>
    <n v="3048.48"/>
    <n v="3198.54"/>
    <x v="0"/>
    <n v="0.03"/>
    <s v="Bank Transfer"/>
    <x v="0"/>
    <s v="East-David"/>
    <x v="6"/>
    <n v="6"/>
    <n v="2023"/>
  </r>
  <r>
    <n v="1078"/>
    <d v="2023-06-12T00:00:00"/>
    <x v="2"/>
    <x v="2"/>
    <n v="6136"/>
    <n v="29"/>
    <x v="3"/>
    <n v="3177.81"/>
    <n v="3222.65"/>
    <x v="0"/>
    <n v="0.08"/>
    <s v="Credit Card"/>
    <x v="1"/>
    <s v="South-Charlie"/>
    <x v="6"/>
    <n v="6"/>
    <n v="2023"/>
  </r>
  <r>
    <n v="1073"/>
    <d v="2023-11-16T00:00:00"/>
    <x v="1"/>
    <x v="2"/>
    <n v="7026.43"/>
    <n v="48"/>
    <x v="2"/>
    <n v="2658.9"/>
    <n v="2838.27"/>
    <x v="1"/>
    <n v="0.25"/>
    <s v="Credit Card"/>
    <x v="0"/>
    <s v="South-David"/>
    <x v="8"/>
    <n v="11"/>
    <n v="2023"/>
  </r>
  <r>
    <n v="1001"/>
    <d v="2023-10-08T00:00:00"/>
    <x v="0"/>
    <x v="1"/>
    <n v="8397.73"/>
    <n v="33"/>
    <x v="0"/>
    <n v="2933.54"/>
    <n v="3307.75"/>
    <x v="0"/>
    <n v="0.01"/>
    <s v="Bank Transfer"/>
    <x v="1"/>
    <s v="West-Bob"/>
    <x v="7"/>
    <n v="10"/>
    <n v="2023"/>
  </r>
  <r>
    <n v="1051"/>
    <d v="2023-10-07T00:00:00"/>
    <x v="0"/>
    <x v="1"/>
    <n v="8047.83"/>
    <n v="3"/>
    <x v="0"/>
    <n v="3434.75"/>
    <n v="3659.42"/>
    <x v="1"/>
    <n v="0.16"/>
    <s v="Cash"/>
    <x v="0"/>
    <s v="West-Bob"/>
    <x v="7"/>
    <n v="10"/>
    <n v="2023"/>
  </r>
  <r>
    <n v="1045"/>
    <d v="2023-01-12T00:00:00"/>
    <x v="2"/>
    <x v="2"/>
    <n v="9613.11"/>
    <n v="35"/>
    <x v="0"/>
    <n v="3777.94"/>
    <n v="4188.66"/>
    <x v="1"/>
    <n v="0.17"/>
    <s v="Bank Transfer"/>
    <x v="0"/>
    <s v="South-Charlie"/>
    <x v="5"/>
    <n v="1"/>
    <n v="2023"/>
  </r>
  <r>
    <n v="1077"/>
    <d v="2023-10-01T00:00:00"/>
    <x v="4"/>
    <x v="1"/>
    <n v="5405.76"/>
    <n v="5"/>
    <x v="3"/>
    <n v="3650.89"/>
    <n v="3930.06"/>
    <x v="1"/>
    <n v="0.17"/>
    <s v="Bank Transfer"/>
    <x v="0"/>
    <s v="West-Alice"/>
    <x v="7"/>
    <n v="10"/>
    <n v="2023"/>
  </r>
  <r>
    <n v="1004"/>
    <d v="2023-09-28T00:00:00"/>
    <x v="3"/>
    <x v="2"/>
    <n v="4936.1099999999997"/>
    <n v="27"/>
    <x v="2"/>
    <n v="4354.6000000000004"/>
    <n v="4820.2"/>
    <x v="1"/>
    <n v="0.14000000000000001"/>
    <s v="Credit Card"/>
    <x v="1"/>
    <s v="South-Eve"/>
    <x v="2"/>
    <n v="9"/>
    <n v="2023"/>
  </r>
  <r>
    <n v="1062"/>
    <d v="2023-07-27T00:00:00"/>
    <x v="1"/>
    <x v="2"/>
    <n v="4078.68"/>
    <n v="44"/>
    <x v="3"/>
    <n v="987.74"/>
    <n v="1462.19"/>
    <x v="1"/>
    <n v="0.24"/>
    <s v="Bank Transfer"/>
    <x v="0"/>
    <s v="South-David"/>
    <x v="11"/>
    <n v="7"/>
    <n v="2023"/>
  </r>
  <r>
    <n v="1065"/>
    <d v="2023-01-27T00:00:00"/>
    <x v="0"/>
    <x v="2"/>
    <n v="1621.54"/>
    <n v="12"/>
    <x v="3"/>
    <n v="2035.68"/>
    <n v="2079.64"/>
    <x v="0"/>
    <n v="0.04"/>
    <s v="Cash"/>
    <x v="0"/>
    <s v="South-Bob"/>
    <x v="5"/>
    <n v="1"/>
    <n v="2023"/>
  </r>
  <r>
    <n v="1032"/>
    <d v="2023-03-13T00:00:00"/>
    <x v="4"/>
    <x v="0"/>
    <n v="5768.81"/>
    <n v="20"/>
    <x v="3"/>
    <n v="4741.59"/>
    <n v="4975.2299999999996"/>
    <x v="1"/>
    <n v="0.09"/>
    <s v="Credit Card"/>
    <x v="0"/>
    <s v="North-Alice"/>
    <x v="4"/>
    <n v="3"/>
    <n v="2023"/>
  </r>
  <r>
    <n v="1034"/>
    <d v="2023-03-01T00:00:00"/>
    <x v="2"/>
    <x v="1"/>
    <n v="2842.42"/>
    <n v="45"/>
    <x v="1"/>
    <n v="2013.12"/>
    <n v="2321.87"/>
    <x v="1"/>
    <n v="0.18"/>
    <s v="Bank Transfer"/>
    <x v="1"/>
    <s v="West-Charlie"/>
    <x v="4"/>
    <n v="3"/>
    <n v="2023"/>
  </r>
  <r>
    <n v="1092"/>
    <d v="2023-05-25T00:00:00"/>
    <x v="0"/>
    <x v="3"/>
    <n v="9220.94"/>
    <n v="20"/>
    <x v="1"/>
    <n v="668.11"/>
    <n v="803.49"/>
    <x v="1"/>
    <n v="0.21"/>
    <s v="Bank Transfer"/>
    <x v="0"/>
    <s v="East-Bob"/>
    <x v="10"/>
    <n v="5"/>
    <n v="2023"/>
  </r>
  <r>
    <n v="1095"/>
    <d v="2023-04-03T00:00:00"/>
    <x v="2"/>
    <x v="3"/>
    <n v="5873.59"/>
    <n v="9"/>
    <x v="1"/>
    <n v="2650.95"/>
    <n v="2860.4199999999901"/>
    <x v="1"/>
    <n v="0.12"/>
    <s v="Cash"/>
    <x v="1"/>
    <s v="East-Charlie"/>
    <x v="1"/>
    <n v="4"/>
    <n v="2023"/>
  </r>
  <r>
    <n v="1072"/>
    <d v="2023-11-05T00:00:00"/>
    <x v="1"/>
    <x v="1"/>
    <n v="5969.12"/>
    <n v="39"/>
    <x v="2"/>
    <n v="591.98"/>
    <n v="934.04"/>
    <x v="1"/>
    <n v="0.26"/>
    <s v="Bank Transfer"/>
    <x v="1"/>
    <s v="West-David"/>
    <x v="8"/>
    <n v="11"/>
    <n v="2023"/>
  </r>
  <r>
    <n v="1039"/>
    <d v="2023-01-08T00:00:00"/>
    <x v="3"/>
    <x v="2"/>
    <n v="3613.75"/>
    <n v="4"/>
    <x v="3"/>
    <n v="1054.1199999999999"/>
    <n v="1175.21999999999"/>
    <x v="0"/>
    <n v="0.12"/>
    <s v="Bank Transfer"/>
    <x v="1"/>
    <s v="South-Eve"/>
    <x v="5"/>
    <n v="1"/>
    <n v="2023"/>
  </r>
  <r>
    <n v="1026"/>
    <d v="2023-03-20T00:00:00"/>
    <x v="0"/>
    <x v="3"/>
    <n v="614.69000000000005"/>
    <n v="19"/>
    <x v="3"/>
    <n v="4991.68"/>
    <n v="5296.65"/>
    <x v="1"/>
    <n v="0.12"/>
    <s v="Bank Transfer"/>
    <x v="0"/>
    <s v="East-Bob"/>
    <x v="4"/>
    <n v="3"/>
    <n v="2023"/>
  </r>
  <r>
    <n v="1034"/>
    <d v="2023-01-27T00:00:00"/>
    <x v="0"/>
    <x v="3"/>
    <n v="414.26"/>
    <n v="38"/>
    <x v="1"/>
    <n v="2729.75"/>
    <n v="3081.5"/>
    <x v="1"/>
    <n v="0.01"/>
    <s v="Bank Transfer"/>
    <x v="0"/>
    <s v="East-Bob"/>
    <x v="5"/>
    <n v="1"/>
    <n v="2023"/>
  </r>
  <r>
    <n v="1054"/>
    <d v="2023-06-23T00:00:00"/>
    <x v="1"/>
    <x v="1"/>
    <n v="4291.0200000000004"/>
    <n v="27"/>
    <x v="3"/>
    <n v="1456.09"/>
    <n v="1510.4299999999901"/>
    <x v="0"/>
    <n v="0.17"/>
    <s v="Cash"/>
    <x v="1"/>
    <s v="West-David"/>
    <x v="6"/>
    <n v="6"/>
    <n v="2023"/>
  </r>
  <r>
    <n v="1003"/>
    <d v="2023-02-19T00:00:00"/>
    <x v="4"/>
    <x v="3"/>
    <n v="937.2"/>
    <n v="45"/>
    <x v="3"/>
    <n v="4974.1400000000003"/>
    <n v="5227.93"/>
    <x v="1"/>
    <n v="0.21"/>
    <s v="Bank Transfer"/>
    <x v="0"/>
    <s v="East-Alice"/>
    <x v="0"/>
    <n v="2"/>
    <n v="2023"/>
  </r>
  <r>
    <n v="1050"/>
    <d v="2023-07-18T00:00:00"/>
    <x v="3"/>
    <x v="2"/>
    <n v="6107.78"/>
    <n v="43"/>
    <x v="0"/>
    <n v="4834.47"/>
    <n v="4973.38"/>
    <x v="0"/>
    <n v="0.03"/>
    <s v="Bank Transfer"/>
    <x v="0"/>
    <s v="South-Eve"/>
    <x v="11"/>
    <n v="7"/>
    <n v="2023"/>
  </r>
  <r>
    <n v="1012"/>
    <d v="2023-12-15T00:00:00"/>
    <x v="0"/>
    <x v="1"/>
    <n v="8821.6299999999992"/>
    <n v="13"/>
    <x v="3"/>
    <n v="2231.66"/>
    <n v="2596.6099999999901"/>
    <x v="0"/>
    <n v="0.09"/>
    <s v="Bank Transfer"/>
    <x v="1"/>
    <s v="West-Bob"/>
    <x v="9"/>
    <n v="12"/>
    <n v="2023"/>
  </r>
  <r>
    <n v="1065"/>
    <d v="2023-06-30T00:00:00"/>
    <x v="3"/>
    <x v="2"/>
    <n v="8840.86"/>
    <n v="13"/>
    <x v="0"/>
    <n v="1339"/>
    <n v="1441.88"/>
    <x v="0"/>
    <n v="0.23"/>
    <s v="Credit Card"/>
    <x v="1"/>
    <s v="South-Eve"/>
    <x v="6"/>
    <n v="6"/>
    <n v="2023"/>
  </r>
  <r>
    <n v="1054"/>
    <d v="2023-01-24T00:00:00"/>
    <x v="0"/>
    <x v="3"/>
    <n v="6624.55"/>
    <n v="22"/>
    <x v="3"/>
    <n v="4200.08"/>
    <n v="4647.28"/>
    <x v="0"/>
    <n v="0.11"/>
    <s v="Cash"/>
    <x v="0"/>
    <s v="East-Bob"/>
    <x v="5"/>
    <n v="1"/>
    <n v="2023"/>
  </r>
  <r>
    <n v="1005"/>
    <d v="2023-11-12T00:00:00"/>
    <x v="3"/>
    <x v="3"/>
    <n v="2191.1999999999998"/>
    <n v="28"/>
    <x v="2"/>
    <n v="3592.32"/>
    <n v="3813.48"/>
    <x v="1"/>
    <n v="7.0000000000000007E-2"/>
    <s v="Credit Card"/>
    <x v="1"/>
    <s v="East-Eve"/>
    <x v="8"/>
    <n v="11"/>
    <n v="2023"/>
  </r>
  <r>
    <n v="1094"/>
    <d v="2023-02-15T00:00:00"/>
    <x v="2"/>
    <x v="2"/>
    <n v="8643.67"/>
    <n v="47"/>
    <x v="1"/>
    <n v="3450.36"/>
    <n v="3557.38"/>
    <x v="1"/>
    <n v="0.2"/>
    <s v="Credit Card"/>
    <x v="0"/>
    <s v="South-Charlie"/>
    <x v="0"/>
    <n v="2"/>
    <n v="2023"/>
  </r>
  <r>
    <n v="1094"/>
    <d v="2023-01-15T00:00:00"/>
    <x v="0"/>
    <x v="0"/>
    <n v="8872.33"/>
    <n v="45"/>
    <x v="0"/>
    <n v="4470.91"/>
    <n v="4695.54"/>
    <x v="0"/>
    <n v="0.06"/>
    <s v="Cash"/>
    <x v="1"/>
    <s v="North-Bob"/>
    <x v="5"/>
    <n v="1"/>
    <n v="2023"/>
  </r>
  <r>
    <n v="1057"/>
    <d v="2023-06-02T00:00:00"/>
    <x v="3"/>
    <x v="3"/>
    <n v="2046.87"/>
    <n v="22"/>
    <x v="1"/>
    <n v="3462.61"/>
    <n v="3672.89"/>
    <x v="0"/>
    <n v="0.27"/>
    <s v="Credit Card"/>
    <x v="0"/>
    <s v="East-Eve"/>
    <x v="6"/>
    <n v="6"/>
    <n v="2023"/>
  </r>
  <r>
    <n v="1017"/>
    <d v="2023-08-10T00:00:00"/>
    <x v="4"/>
    <x v="0"/>
    <n v="7400.52"/>
    <n v="43"/>
    <x v="0"/>
    <n v="1454.8"/>
    <n v="1674.97"/>
    <x v="1"/>
    <n v="0.03"/>
    <s v="Credit Card"/>
    <x v="0"/>
    <s v="North-Alice"/>
    <x v="3"/>
    <n v="8"/>
    <n v="2023"/>
  </r>
  <r>
    <n v="1047"/>
    <d v="2023-07-25T00:00:00"/>
    <x v="2"/>
    <x v="3"/>
    <n v="2936.54"/>
    <n v="19"/>
    <x v="0"/>
    <n v="3484.62"/>
    <n v="3781.5499999999902"/>
    <x v="0"/>
    <n v="0.21"/>
    <s v="Credit Card"/>
    <x v="1"/>
    <s v="East-Charlie"/>
    <x v="11"/>
    <n v="7"/>
    <n v="2023"/>
  </r>
  <r>
    <n v="1023"/>
    <d v="2023-09-30T00:00:00"/>
    <x v="2"/>
    <x v="0"/>
    <n v="8046.14"/>
    <n v="8"/>
    <x v="0"/>
    <n v="1563.78"/>
    <n v="1829.1599999999901"/>
    <x v="0"/>
    <n v="0.15"/>
    <s v="Cash"/>
    <x v="0"/>
    <s v="North-Charlie"/>
    <x v="2"/>
    <n v="9"/>
    <n v="2023"/>
  </r>
  <r>
    <n v="1079"/>
    <d v="2023-08-24T00:00:00"/>
    <x v="4"/>
    <x v="0"/>
    <n v="9972.66"/>
    <n v="8"/>
    <x v="2"/>
    <n v="3808.23"/>
    <n v="3891.62"/>
    <x v="0"/>
    <n v="0.26"/>
    <s v="Bank Transfer"/>
    <x v="0"/>
    <s v="North-Alice"/>
    <x v="3"/>
    <n v="8"/>
    <n v="2023"/>
  </r>
  <r>
    <n v="1085"/>
    <d v="2023-12-06T00:00:00"/>
    <x v="3"/>
    <x v="0"/>
    <n v="397.26"/>
    <n v="42"/>
    <x v="3"/>
    <n v="3117.75"/>
    <n v="3159.88"/>
    <x v="1"/>
    <n v="0.04"/>
    <s v="Cash"/>
    <x v="1"/>
    <s v="North-Eve"/>
    <x v="9"/>
    <n v="12"/>
    <n v="2023"/>
  </r>
  <r>
    <n v="1014"/>
    <d v="2023-08-16T00:00:00"/>
    <x v="1"/>
    <x v="2"/>
    <n v="8983.92"/>
    <n v="26"/>
    <x v="0"/>
    <n v="433.19"/>
    <n v="800.6"/>
    <x v="0"/>
    <n v="0.2"/>
    <s v="Cash"/>
    <x v="0"/>
    <s v="South-David"/>
    <x v="3"/>
    <n v="8"/>
    <n v="2023"/>
  </r>
  <r>
    <n v="1066"/>
    <d v="2023-01-09T00:00:00"/>
    <x v="4"/>
    <x v="0"/>
    <n v="6264.04"/>
    <n v="48"/>
    <x v="2"/>
    <n v="2588.54"/>
    <n v="2872.8"/>
    <x v="1"/>
    <n v="0.17"/>
    <s v="Cash"/>
    <x v="0"/>
    <s v="North-Alice"/>
    <x v="5"/>
    <n v="1"/>
    <n v="2023"/>
  </r>
  <r>
    <n v="1075"/>
    <d v="2023-06-15T00:00:00"/>
    <x v="3"/>
    <x v="0"/>
    <n v="9736.49"/>
    <n v="26"/>
    <x v="0"/>
    <n v="1749.34"/>
    <n v="1935.25"/>
    <x v="1"/>
    <n v="0.14000000000000001"/>
    <s v="Credit Card"/>
    <x v="0"/>
    <s v="North-Eve"/>
    <x v="6"/>
    <n v="6"/>
    <n v="2023"/>
  </r>
  <r>
    <n v="1051"/>
    <d v="2023-11-15T00:00:00"/>
    <x v="4"/>
    <x v="0"/>
    <n v="4703.59"/>
    <n v="23"/>
    <x v="3"/>
    <n v="1676.42"/>
    <n v="2082.52"/>
    <x v="1"/>
    <n v="0.15"/>
    <s v="Bank Transfer"/>
    <x v="1"/>
    <s v="North-Alice"/>
    <x v="8"/>
    <n v="11"/>
    <n v="2023"/>
  </r>
  <r>
    <n v="1038"/>
    <d v="2023-08-02T00:00:00"/>
    <x v="4"/>
    <x v="3"/>
    <n v="8489.14"/>
    <n v="43"/>
    <x v="0"/>
    <n v="3031.17"/>
    <n v="3231.32"/>
    <x v="0"/>
    <n v="0.22"/>
    <s v="Cash"/>
    <x v="1"/>
    <s v="East-Alice"/>
    <x v="3"/>
    <n v="8"/>
    <n v="2023"/>
  </r>
  <r>
    <n v="1064"/>
    <d v="2023-04-27T00:00:00"/>
    <x v="0"/>
    <x v="0"/>
    <n v="717.7"/>
    <n v="13"/>
    <x v="2"/>
    <n v="1645.51"/>
    <n v="2045.53"/>
    <x v="0"/>
    <n v="0.28000000000000003"/>
    <s v="Cash"/>
    <x v="1"/>
    <s v="North-Bob"/>
    <x v="1"/>
    <n v="4"/>
    <n v="2023"/>
  </r>
  <r>
    <n v="1098"/>
    <d v="2023-12-10T00:00:00"/>
    <x v="3"/>
    <x v="3"/>
    <n v="3419.26"/>
    <n v="28"/>
    <x v="3"/>
    <n v="3895.62"/>
    <n v="4055.44"/>
    <x v="1"/>
    <n v="0.03"/>
    <s v="Bank Transfer"/>
    <x v="1"/>
    <s v="East-Eve"/>
    <x v="9"/>
    <n v="12"/>
    <n v="2023"/>
  </r>
  <r>
    <n v="1038"/>
    <d v="2023-03-13T00:00:00"/>
    <x v="1"/>
    <x v="0"/>
    <n v="763.46"/>
    <n v="9"/>
    <x v="2"/>
    <n v="400.42"/>
    <n v="446.11"/>
    <x v="1"/>
    <n v="0.01"/>
    <s v="Bank Transfer"/>
    <x v="1"/>
    <s v="North-David"/>
    <x v="4"/>
    <n v="3"/>
    <n v="2023"/>
  </r>
  <r>
    <n v="1050"/>
    <d v="2023-03-05T00:00:00"/>
    <x v="0"/>
    <x v="0"/>
    <n v="9755.9"/>
    <n v="20"/>
    <x v="3"/>
    <n v="3318.92"/>
    <n v="3785.91"/>
    <x v="1"/>
    <n v="0.24"/>
    <s v="Bank Transfer"/>
    <x v="0"/>
    <s v="North-Bob"/>
    <x v="4"/>
    <n v="3"/>
    <n v="2023"/>
  </r>
  <r>
    <n v="1098"/>
    <d v="2023-07-24T00:00:00"/>
    <x v="4"/>
    <x v="2"/>
    <n v="8188.04"/>
    <n v="19"/>
    <x v="3"/>
    <n v="4055.51"/>
    <n v="4258.84"/>
    <x v="0"/>
    <n v="0.03"/>
    <s v="Credit Card"/>
    <x v="0"/>
    <s v="South-Alice"/>
    <x v="11"/>
    <n v="7"/>
    <n v="2023"/>
  </r>
  <r>
    <n v="1082"/>
    <d v="2023-07-28T00:00:00"/>
    <x v="4"/>
    <x v="3"/>
    <n v="8540.2199999999993"/>
    <n v="48"/>
    <x v="1"/>
    <n v="3380.52"/>
    <n v="3778.94"/>
    <x v="0"/>
    <n v="0.3"/>
    <s v="Bank Transfer"/>
    <x v="0"/>
    <s v="East-Alice"/>
    <x v="11"/>
    <n v="7"/>
    <n v="2023"/>
  </r>
  <r>
    <n v="1030"/>
    <d v="2023-03-13T00:00:00"/>
    <x v="4"/>
    <x v="0"/>
    <n v="9385.86"/>
    <n v="39"/>
    <x v="1"/>
    <n v="2511.2800000000002"/>
    <n v="2658.06"/>
    <x v="1"/>
    <n v="0.19"/>
    <s v="Credit Card"/>
    <x v="1"/>
    <s v="North-Alice"/>
    <x v="4"/>
    <n v="3"/>
    <n v="2023"/>
  </r>
  <r>
    <n v="1079"/>
    <d v="2023-10-04T00:00:00"/>
    <x v="3"/>
    <x v="3"/>
    <n v="942.52"/>
    <n v="12"/>
    <x v="1"/>
    <n v="4754.0200000000004"/>
    <n v="5080.74"/>
    <x v="1"/>
    <n v="0.2"/>
    <s v="Cash"/>
    <x v="0"/>
    <s v="East-Eve"/>
    <x v="7"/>
    <n v="10"/>
    <n v="2023"/>
  </r>
  <r>
    <n v="1091"/>
    <d v="2023-10-01T00:00:00"/>
    <x v="3"/>
    <x v="3"/>
    <n v="3917.42"/>
    <n v="15"/>
    <x v="3"/>
    <n v="1534.7"/>
    <n v="1972.62"/>
    <x v="0"/>
    <n v="0.06"/>
    <s v="Credit Card"/>
    <x v="1"/>
    <s v="East-Eve"/>
    <x v="7"/>
    <n v="10"/>
    <n v="2023"/>
  </r>
  <r>
    <n v="1051"/>
    <d v="2023-11-16T00:00:00"/>
    <x v="0"/>
    <x v="1"/>
    <n v="803.25"/>
    <n v="31"/>
    <x v="0"/>
    <n v="144.88"/>
    <n v="175.29"/>
    <x v="1"/>
    <n v="7.0000000000000007E-2"/>
    <s v="Bank Transfer"/>
    <x v="0"/>
    <s v="West-Bob"/>
    <x v="8"/>
    <n v="11"/>
    <n v="2023"/>
  </r>
  <r>
    <n v="1063"/>
    <d v="2023-12-04T00:00:00"/>
    <x v="1"/>
    <x v="2"/>
    <n v="2186.85"/>
    <n v="14"/>
    <x v="2"/>
    <n v="2188.35"/>
    <n v="2605.3599999999901"/>
    <x v="0"/>
    <n v="0.2"/>
    <s v="Credit Card"/>
    <x v="1"/>
    <s v="South-David"/>
    <x v="9"/>
    <n v="12"/>
    <n v="2023"/>
  </r>
  <r>
    <n v="1098"/>
    <d v="2024-01-01T00:00:00"/>
    <x v="0"/>
    <x v="2"/>
    <n v="2370.7199999999998"/>
    <n v="11"/>
    <x v="2"/>
    <n v="213.41"/>
    <n v="503.36"/>
    <x v="0"/>
    <n v="0.27"/>
    <s v="Bank Transfer"/>
    <x v="0"/>
    <s v="South-Bob"/>
    <x v="5"/>
    <n v="1"/>
    <n v="2024"/>
  </r>
  <r>
    <n v="1052"/>
    <d v="2023-04-05T00:00:00"/>
    <x v="2"/>
    <x v="2"/>
    <n v="4744.16"/>
    <n v="26"/>
    <x v="2"/>
    <n v="4771.99"/>
    <n v="5079.6499999999996"/>
    <x v="1"/>
    <n v="0.28999999999999998"/>
    <s v="Credit Card"/>
    <x v="0"/>
    <s v="South-Charlie"/>
    <x v="1"/>
    <n v="4"/>
    <n v="2023"/>
  </r>
  <r>
    <n v="1038"/>
    <d v="2023-06-15T00:00:00"/>
    <x v="4"/>
    <x v="1"/>
    <n v="2758.77"/>
    <n v="42"/>
    <x v="1"/>
    <n v="1089.0899999999999"/>
    <n v="1355.44"/>
    <x v="1"/>
    <n v="0.06"/>
    <s v="Cash"/>
    <x v="1"/>
    <s v="West-Alice"/>
    <x v="6"/>
    <n v="6"/>
    <n v="2023"/>
  </r>
  <r>
    <n v="1097"/>
    <d v="2023-02-01T00:00:00"/>
    <x v="4"/>
    <x v="1"/>
    <n v="1099.68"/>
    <n v="27"/>
    <x v="3"/>
    <n v="3955.19"/>
    <n v="4393.68"/>
    <x v="0"/>
    <n v="0.04"/>
    <s v="Credit Card"/>
    <x v="0"/>
    <s v="West-Alice"/>
    <x v="0"/>
    <n v="2"/>
    <n v="2023"/>
  </r>
  <r>
    <n v="1088"/>
    <d v="2023-01-11T00:00:00"/>
    <x v="4"/>
    <x v="2"/>
    <n v="1758.16"/>
    <n v="11"/>
    <x v="1"/>
    <n v="3884.13"/>
    <n v="3915.41"/>
    <x v="0"/>
    <n v="0.02"/>
    <s v="Cash"/>
    <x v="0"/>
    <s v="South-Alice"/>
    <x v="5"/>
    <n v="1"/>
    <n v="2023"/>
  </r>
  <r>
    <n v="1079"/>
    <d v="2023-10-28T00:00:00"/>
    <x v="0"/>
    <x v="1"/>
    <n v="1558.03"/>
    <n v="38"/>
    <x v="0"/>
    <n v="1127.76"/>
    <n v="1265.6600000000001"/>
    <x v="0"/>
    <n v="0.26"/>
    <s v="Bank Transfer"/>
    <x v="1"/>
    <s v="West-Bob"/>
    <x v="7"/>
    <n v="10"/>
    <n v="2023"/>
  </r>
  <r>
    <n v="1030"/>
    <d v="2023-08-05T00:00:00"/>
    <x v="0"/>
    <x v="1"/>
    <n v="9733.4599999999991"/>
    <n v="34"/>
    <x v="3"/>
    <n v="3125.07"/>
    <n v="3564.19"/>
    <x v="0"/>
    <n v="0.09"/>
    <s v="Cash"/>
    <x v="0"/>
    <s v="West-Bob"/>
    <x v="3"/>
    <n v="8"/>
    <n v="2023"/>
  </r>
  <r>
    <n v="1051"/>
    <d v="2023-10-16T00:00:00"/>
    <x v="4"/>
    <x v="1"/>
    <n v="7617"/>
    <n v="43"/>
    <x v="2"/>
    <n v="287.99"/>
    <n v="666.64"/>
    <x v="0"/>
    <n v="0"/>
    <s v="Bank Transfer"/>
    <x v="0"/>
    <s v="West-Alice"/>
    <x v="7"/>
    <n v="10"/>
    <n v="2023"/>
  </r>
  <r>
    <n v="1081"/>
    <d v="2023-04-12T00:00:00"/>
    <x v="0"/>
    <x v="2"/>
    <n v="9680.84"/>
    <n v="19"/>
    <x v="1"/>
    <n v="2443.69"/>
    <n v="2462.34"/>
    <x v="1"/>
    <n v="7.0000000000000007E-2"/>
    <s v="Bank Transfer"/>
    <x v="1"/>
    <s v="South-Bob"/>
    <x v="1"/>
    <n v="4"/>
    <n v="2023"/>
  </r>
  <r>
    <n v="1005"/>
    <d v="2023-09-24T00:00:00"/>
    <x v="3"/>
    <x v="2"/>
    <n v="4453.43"/>
    <n v="6"/>
    <x v="1"/>
    <n v="122.5"/>
    <n v="385.83"/>
    <x v="0"/>
    <n v="0.1"/>
    <s v="Cash"/>
    <x v="1"/>
    <s v="South-Eve"/>
    <x v="2"/>
    <n v="9"/>
    <n v="2023"/>
  </r>
  <r>
    <n v="1029"/>
    <d v="2023-08-02T00:00:00"/>
    <x v="3"/>
    <x v="2"/>
    <n v="2855.85"/>
    <n v="46"/>
    <x v="0"/>
    <n v="4609.66"/>
    <n v="4879.1499999999996"/>
    <x v="0"/>
    <n v="0.3"/>
    <s v="Cash"/>
    <x v="1"/>
    <s v="South-Eve"/>
    <x v="3"/>
    <n v="8"/>
    <n v="2023"/>
  </r>
  <r>
    <n v="1004"/>
    <d v="2023-06-28T00:00:00"/>
    <x v="0"/>
    <x v="1"/>
    <n v="8003.1"/>
    <n v="38"/>
    <x v="0"/>
    <n v="4881.63"/>
    <n v="5088.0600000000004"/>
    <x v="0"/>
    <n v="0.16"/>
    <s v="Credit Card"/>
    <x v="1"/>
    <s v="West-Bob"/>
    <x v="6"/>
    <n v="6"/>
    <n v="2023"/>
  </r>
  <r>
    <n v="1010"/>
    <d v="2023-03-29T00:00:00"/>
    <x v="4"/>
    <x v="2"/>
    <n v="3329.91"/>
    <n v="49"/>
    <x v="1"/>
    <n v="1150.3"/>
    <n v="1306.02"/>
    <x v="1"/>
    <n v="0.06"/>
    <s v="Credit Card"/>
    <x v="1"/>
    <s v="South-Alice"/>
    <x v="4"/>
    <n v="3"/>
    <n v="2023"/>
  </r>
  <r>
    <n v="1056"/>
    <d v="2023-02-10T00:00:00"/>
    <x v="0"/>
    <x v="1"/>
    <n v="3063.9"/>
    <n v="42"/>
    <x v="0"/>
    <n v="1080.1199999999999"/>
    <n v="1424.1699999999901"/>
    <x v="1"/>
    <n v="0.1"/>
    <s v="Cash"/>
    <x v="0"/>
    <s v="West-Bob"/>
    <x v="0"/>
    <n v="2"/>
    <n v="2023"/>
  </r>
  <r>
    <n v="1017"/>
    <d v="2023-03-17T00:00:00"/>
    <x v="0"/>
    <x v="0"/>
    <n v="2401.81"/>
    <n v="28"/>
    <x v="2"/>
    <n v="3780.91"/>
    <n v="3892.73"/>
    <x v="0"/>
    <n v="0.1"/>
    <s v="Cash"/>
    <x v="1"/>
    <s v="North-Bob"/>
    <x v="4"/>
    <n v="3"/>
    <n v="2023"/>
  </r>
  <r>
    <n v="1074"/>
    <d v="2023-02-15T00:00:00"/>
    <x v="0"/>
    <x v="1"/>
    <n v="1383.82"/>
    <n v="1"/>
    <x v="0"/>
    <n v="1304.23"/>
    <n v="1705.71"/>
    <x v="0"/>
    <n v="0.01"/>
    <s v="Cash"/>
    <x v="1"/>
    <s v="West-Bob"/>
    <x v="0"/>
    <n v="2"/>
    <n v="2023"/>
  </r>
  <r>
    <n v="1017"/>
    <d v="2023-06-09T00:00:00"/>
    <x v="2"/>
    <x v="3"/>
    <n v="2638.98"/>
    <n v="35"/>
    <x v="0"/>
    <n v="4480.63"/>
    <n v="4884.12"/>
    <x v="1"/>
    <n v="0.04"/>
    <s v="Cash"/>
    <x v="0"/>
    <s v="East-Charlie"/>
    <x v="6"/>
    <n v="6"/>
    <n v="2023"/>
  </r>
  <r>
    <n v="1084"/>
    <d v="2023-03-21T00:00:00"/>
    <x v="3"/>
    <x v="2"/>
    <n v="3617.67"/>
    <n v="40"/>
    <x v="1"/>
    <n v="2890.95"/>
    <n v="3104.43"/>
    <x v="1"/>
    <n v="0.21"/>
    <s v="Bank Transfer"/>
    <x v="0"/>
    <s v="South-Eve"/>
    <x v="4"/>
    <n v="3"/>
    <n v="2023"/>
  </r>
  <r>
    <n v="1088"/>
    <d v="2023-11-06T00:00:00"/>
    <x v="1"/>
    <x v="2"/>
    <n v="6772.54"/>
    <n v="8"/>
    <x v="1"/>
    <n v="1786.35"/>
    <n v="1935.29"/>
    <x v="1"/>
    <n v="0.04"/>
    <s v="Cash"/>
    <x v="0"/>
    <s v="South-David"/>
    <x v="8"/>
    <n v="11"/>
    <n v="2023"/>
  </r>
  <r>
    <n v="1069"/>
    <d v="2023-03-27T00:00:00"/>
    <x v="1"/>
    <x v="3"/>
    <n v="719.39"/>
    <n v="47"/>
    <x v="3"/>
    <n v="4171.83"/>
    <n v="4320.93"/>
    <x v="1"/>
    <n v="7.0000000000000007E-2"/>
    <s v="Cash"/>
    <x v="0"/>
    <s v="East-David"/>
    <x v="4"/>
    <n v="3"/>
    <n v="2023"/>
  </r>
  <r>
    <n v="1034"/>
    <d v="2023-04-02T00:00:00"/>
    <x v="2"/>
    <x v="1"/>
    <n v="2184.02"/>
    <n v="7"/>
    <x v="3"/>
    <n v="2492.36"/>
    <n v="2738.68"/>
    <x v="0"/>
    <n v="0.11"/>
    <s v="Cash"/>
    <x v="0"/>
    <s v="West-Charlie"/>
    <x v="1"/>
    <n v="4"/>
    <n v="2023"/>
  </r>
  <r>
    <n v="1006"/>
    <d v="2023-05-28T00:00:00"/>
    <x v="0"/>
    <x v="0"/>
    <n v="8109.33"/>
    <n v="11"/>
    <x v="1"/>
    <n v="4562.58"/>
    <n v="4925.17"/>
    <x v="1"/>
    <n v="0.23"/>
    <s v="Cash"/>
    <x v="1"/>
    <s v="North-Bob"/>
    <x v="10"/>
    <n v="5"/>
    <n v="2023"/>
  </r>
  <r>
    <n v="1053"/>
    <d v="2023-06-10T00:00:00"/>
    <x v="2"/>
    <x v="3"/>
    <n v="1554.53"/>
    <n v="39"/>
    <x v="0"/>
    <n v="4643.67"/>
    <n v="4829.5200000000004"/>
    <x v="0"/>
    <n v="0.17"/>
    <s v="Bank Transfer"/>
    <x v="0"/>
    <s v="East-Charlie"/>
    <x v="6"/>
    <n v="6"/>
    <n v="2023"/>
  </r>
  <r>
    <n v="1066"/>
    <d v="2023-07-21T00:00:00"/>
    <x v="2"/>
    <x v="3"/>
    <n v="3492.19"/>
    <n v="4"/>
    <x v="0"/>
    <n v="868.83"/>
    <n v="1177.75"/>
    <x v="0"/>
    <n v="0.21"/>
    <s v="Credit Card"/>
    <x v="1"/>
    <s v="East-Charlie"/>
    <x v="11"/>
    <n v="7"/>
    <n v="2023"/>
  </r>
  <r>
    <n v="1077"/>
    <d v="2023-08-30T00:00:00"/>
    <x v="4"/>
    <x v="1"/>
    <n v="8660.1200000000008"/>
    <n v="25"/>
    <x v="3"/>
    <n v="61.5"/>
    <n v="258.91999999999899"/>
    <x v="1"/>
    <n v="0.17"/>
    <s v="Credit Card"/>
    <x v="0"/>
    <s v="West-Alice"/>
    <x v="3"/>
    <n v="8"/>
    <n v="2023"/>
  </r>
  <r>
    <n v="1043"/>
    <d v="2023-12-19T00:00:00"/>
    <x v="3"/>
    <x v="2"/>
    <n v="1633.76"/>
    <n v="12"/>
    <x v="3"/>
    <n v="4920.46"/>
    <n v="5079.68"/>
    <x v="1"/>
    <n v="0.21"/>
    <s v="Credit Card"/>
    <x v="1"/>
    <s v="South-Eve"/>
    <x v="9"/>
    <n v="12"/>
    <n v="2023"/>
  </r>
  <r>
    <n v="1075"/>
    <d v="2023-01-02T00:00:00"/>
    <x v="1"/>
    <x v="1"/>
    <n v="919.09"/>
    <n v="26"/>
    <x v="3"/>
    <n v="4535.38"/>
    <n v="4557.5600000000004"/>
    <x v="1"/>
    <n v="0"/>
    <s v="Credit Card"/>
    <x v="0"/>
    <s v="West-David"/>
    <x v="5"/>
    <n v="1"/>
    <n v="2023"/>
  </r>
  <r>
    <n v="1023"/>
    <d v="2023-08-13T00:00:00"/>
    <x v="0"/>
    <x v="3"/>
    <n v="4896.93"/>
    <n v="38"/>
    <x v="2"/>
    <n v="324.45"/>
    <n v="336.37"/>
    <x v="1"/>
    <n v="0.28000000000000003"/>
    <s v="Credit Card"/>
    <x v="1"/>
    <s v="East-Bob"/>
    <x v="3"/>
    <n v="8"/>
    <n v="2023"/>
  </r>
  <r>
    <n v="1055"/>
    <d v="2023-10-16T00:00:00"/>
    <x v="1"/>
    <x v="3"/>
    <n v="3093.95"/>
    <n v="46"/>
    <x v="2"/>
    <n v="4173.5200000000004"/>
    <n v="4294.8500000000004"/>
    <x v="0"/>
    <n v="0.03"/>
    <s v="Bank Transfer"/>
    <x v="1"/>
    <s v="East-David"/>
    <x v="7"/>
    <n v="10"/>
    <n v="2023"/>
  </r>
  <r>
    <n v="1080"/>
    <d v="2023-08-21T00:00:00"/>
    <x v="1"/>
    <x v="2"/>
    <n v="5677.74"/>
    <n v="12"/>
    <x v="3"/>
    <n v="2316.13"/>
    <n v="2525.27"/>
    <x v="0"/>
    <n v="0.12"/>
    <s v="Credit Card"/>
    <x v="1"/>
    <s v="South-David"/>
    <x v="3"/>
    <n v="8"/>
    <n v="2023"/>
  </r>
  <r>
    <n v="1095"/>
    <d v="2023-03-18T00:00:00"/>
    <x v="3"/>
    <x v="2"/>
    <n v="8057.67"/>
    <n v="43"/>
    <x v="0"/>
    <n v="1331.86"/>
    <n v="1758.98"/>
    <x v="0"/>
    <n v="0.23"/>
    <s v="Bank Transfer"/>
    <x v="1"/>
    <s v="South-Eve"/>
    <x v="4"/>
    <n v="3"/>
    <n v="2023"/>
  </r>
  <r>
    <n v="1075"/>
    <d v="2023-04-26T00:00:00"/>
    <x v="1"/>
    <x v="2"/>
    <n v="1457.77"/>
    <n v="37"/>
    <x v="3"/>
    <n v="4399.8"/>
    <n v="4801.0600000000004"/>
    <x v="1"/>
    <n v="0.13"/>
    <s v="Bank Transfer"/>
    <x v="1"/>
    <s v="South-David"/>
    <x v="1"/>
    <n v="4"/>
    <n v="2023"/>
  </r>
  <r>
    <n v="1016"/>
    <d v="2023-06-03T00:00:00"/>
    <x v="1"/>
    <x v="1"/>
    <n v="5848.92"/>
    <n v="46"/>
    <x v="2"/>
    <n v="1023.5"/>
    <n v="1164.4100000000001"/>
    <x v="0"/>
    <n v="0.28000000000000003"/>
    <s v="Credit Card"/>
    <x v="1"/>
    <s v="West-David"/>
    <x v="6"/>
    <n v="6"/>
    <n v="2023"/>
  </r>
  <r>
    <n v="1008"/>
    <d v="2023-04-13T00:00:00"/>
    <x v="2"/>
    <x v="2"/>
    <n v="5104.54"/>
    <n v="24"/>
    <x v="0"/>
    <n v="4739.13"/>
    <n v="4868.95"/>
    <x v="1"/>
    <n v="0.14000000000000001"/>
    <s v="Credit Card"/>
    <x v="1"/>
    <s v="South-Charlie"/>
    <x v="1"/>
    <n v="4"/>
    <n v="2023"/>
  </r>
  <r>
    <n v="1004"/>
    <d v="2023-07-13T00:00:00"/>
    <x v="3"/>
    <x v="3"/>
    <n v="1526.38"/>
    <n v="16"/>
    <x v="2"/>
    <n v="1067.83"/>
    <n v="1189.22"/>
    <x v="0"/>
    <n v="0.26"/>
    <s v="Credit Card"/>
    <x v="1"/>
    <s v="East-Eve"/>
    <x v="11"/>
    <n v="7"/>
    <n v="2023"/>
  </r>
  <r>
    <n v="1004"/>
    <d v="2023-06-15T00:00:00"/>
    <x v="4"/>
    <x v="3"/>
    <n v="6277.59"/>
    <n v="13"/>
    <x v="0"/>
    <n v="3087.73"/>
    <n v="3263.96"/>
    <x v="1"/>
    <n v="0.24"/>
    <s v="Cash"/>
    <x v="1"/>
    <s v="East-Alice"/>
    <x v="6"/>
    <n v="6"/>
    <n v="2023"/>
  </r>
  <r>
    <n v="1056"/>
    <d v="2023-12-25T00:00:00"/>
    <x v="0"/>
    <x v="0"/>
    <n v="2809.04"/>
    <n v="25"/>
    <x v="2"/>
    <n v="1154.28"/>
    <n v="1408.4"/>
    <x v="0"/>
    <n v="0.28999999999999998"/>
    <s v="Bank Transfer"/>
    <x v="1"/>
    <s v="North-Bob"/>
    <x v="9"/>
    <n v="12"/>
    <n v="2023"/>
  </r>
  <r>
    <n v="1025"/>
    <d v="2023-03-31T00:00:00"/>
    <x v="1"/>
    <x v="1"/>
    <n v="4929.5600000000004"/>
    <n v="4"/>
    <x v="0"/>
    <n v="2751.06"/>
    <n v="2976.0099999999902"/>
    <x v="0"/>
    <n v="0.28000000000000003"/>
    <s v="Credit Card"/>
    <x v="0"/>
    <s v="West-David"/>
    <x v="4"/>
    <n v="3"/>
    <n v="2023"/>
  </r>
  <r>
    <n v="1067"/>
    <d v="2023-06-23T00:00:00"/>
    <x v="0"/>
    <x v="0"/>
    <n v="914.5"/>
    <n v="11"/>
    <x v="0"/>
    <n v="3435.68"/>
    <n v="3552.6299999999901"/>
    <x v="1"/>
    <n v="0.27"/>
    <s v="Cash"/>
    <x v="1"/>
    <s v="North-Bob"/>
    <x v="6"/>
    <n v="6"/>
    <n v="2023"/>
  </r>
  <r>
    <n v="1096"/>
    <d v="2023-05-02T00:00:00"/>
    <x v="4"/>
    <x v="3"/>
    <n v="4649.88"/>
    <n v="32"/>
    <x v="0"/>
    <n v="991.63"/>
    <n v="1065.55"/>
    <x v="0"/>
    <n v="0.22"/>
    <s v="Bank Transfer"/>
    <x v="1"/>
    <s v="East-Alice"/>
    <x v="10"/>
    <n v="5"/>
    <n v="2023"/>
  </r>
  <r>
    <n v="1067"/>
    <d v="2023-05-23T00:00:00"/>
    <x v="0"/>
    <x v="0"/>
    <n v="3133.99"/>
    <n v="49"/>
    <x v="0"/>
    <n v="2628.38"/>
    <n v="2644.54"/>
    <x v="0"/>
    <n v="0.11"/>
    <s v="Cash"/>
    <x v="0"/>
    <s v="North-Bob"/>
    <x v="10"/>
    <n v="5"/>
    <n v="2023"/>
  </r>
  <r>
    <n v="1027"/>
    <d v="2023-04-16T00:00:00"/>
    <x v="4"/>
    <x v="3"/>
    <n v="8241.57"/>
    <n v="7"/>
    <x v="1"/>
    <n v="2371.85"/>
    <n v="2457.29"/>
    <x v="1"/>
    <n v="0.03"/>
    <s v="Cash"/>
    <x v="1"/>
    <s v="East-Alice"/>
    <x v="1"/>
    <n v="4"/>
    <n v="2023"/>
  </r>
  <r>
    <n v="1093"/>
    <d v="2023-11-01T00:00:00"/>
    <x v="2"/>
    <x v="0"/>
    <n v="664.09"/>
    <n v="46"/>
    <x v="2"/>
    <n v="401.64"/>
    <n v="757.26"/>
    <x v="1"/>
    <n v="0.21"/>
    <s v="Credit Card"/>
    <x v="1"/>
    <s v="North-Charlie"/>
    <x v="8"/>
    <n v="11"/>
    <n v="2023"/>
  </r>
  <r>
    <n v="1032"/>
    <d v="2023-12-26T00:00:00"/>
    <x v="1"/>
    <x v="2"/>
    <n v="4244.21"/>
    <n v="11"/>
    <x v="2"/>
    <n v="4100.62"/>
    <n v="4230"/>
    <x v="1"/>
    <n v="0.28999999999999998"/>
    <s v="Bank Transfer"/>
    <x v="0"/>
    <s v="South-David"/>
    <x v="9"/>
    <n v="12"/>
    <n v="2023"/>
  </r>
  <r>
    <n v="1050"/>
    <d v="2023-11-13T00:00:00"/>
    <x v="4"/>
    <x v="0"/>
    <n v="4638.47"/>
    <n v="28"/>
    <x v="1"/>
    <n v="1711.63"/>
    <n v="1951.24"/>
    <x v="1"/>
    <n v="0.22"/>
    <s v="Cash"/>
    <x v="0"/>
    <s v="North-Alice"/>
    <x v="8"/>
    <n v="11"/>
    <n v="2023"/>
  </r>
  <r>
    <n v="1061"/>
    <d v="2023-05-03T00:00:00"/>
    <x v="0"/>
    <x v="2"/>
    <n v="7277.56"/>
    <n v="41"/>
    <x v="0"/>
    <n v="2894.18"/>
    <n v="3193.92"/>
    <x v="1"/>
    <n v="0.28000000000000003"/>
    <s v="Bank Transfer"/>
    <x v="1"/>
    <s v="South-Bob"/>
    <x v="10"/>
    <n v="5"/>
    <n v="2023"/>
  </r>
  <r>
    <n v="1051"/>
    <d v="2023-01-09T00:00:00"/>
    <x v="1"/>
    <x v="2"/>
    <n v="5785.45"/>
    <n v="23"/>
    <x v="0"/>
    <n v="2598.1799999999998"/>
    <n v="3042.73"/>
    <x v="0"/>
    <n v="0.24"/>
    <s v="Credit Card"/>
    <x v="0"/>
    <s v="South-David"/>
    <x v="5"/>
    <n v="1"/>
    <n v="2023"/>
  </r>
  <r>
    <n v="1019"/>
    <d v="2023-09-19T00:00:00"/>
    <x v="2"/>
    <x v="1"/>
    <n v="6705.4"/>
    <n v="45"/>
    <x v="2"/>
    <n v="2590.64"/>
    <n v="3036.18"/>
    <x v="1"/>
    <n v="0.05"/>
    <s v="Bank Transfer"/>
    <x v="1"/>
    <s v="West-Charlie"/>
    <x v="2"/>
    <n v="9"/>
    <n v="2023"/>
  </r>
  <r>
    <n v="1021"/>
    <d v="2023-03-14T00:00:00"/>
    <x v="1"/>
    <x v="2"/>
    <n v="7792.79"/>
    <n v="23"/>
    <x v="1"/>
    <n v="580.75"/>
    <n v="956.16"/>
    <x v="0"/>
    <n v="7.0000000000000007E-2"/>
    <s v="Cash"/>
    <x v="1"/>
    <s v="South-David"/>
    <x v="4"/>
    <n v="3"/>
    <n v="2023"/>
  </r>
  <r>
    <n v="1005"/>
    <d v="2023-12-25T00:00:00"/>
    <x v="4"/>
    <x v="2"/>
    <n v="8635.81"/>
    <n v="28"/>
    <x v="0"/>
    <n v="2146.2399999999998"/>
    <n v="2173.4699999999998"/>
    <x v="0"/>
    <n v="0.1"/>
    <s v="Cash"/>
    <x v="1"/>
    <s v="South-Alice"/>
    <x v="9"/>
    <n v="12"/>
    <n v="2023"/>
  </r>
  <r>
    <n v="1082"/>
    <d v="2023-08-11T00:00:00"/>
    <x v="2"/>
    <x v="0"/>
    <n v="3207.37"/>
    <n v="43"/>
    <x v="0"/>
    <n v="2289.2199999999998"/>
    <n v="2581"/>
    <x v="1"/>
    <n v="0.05"/>
    <s v="Bank Transfer"/>
    <x v="0"/>
    <s v="North-Charlie"/>
    <x v="3"/>
    <n v="8"/>
    <n v="2023"/>
  </r>
  <r>
    <n v="1092"/>
    <d v="2023-02-10T00:00:00"/>
    <x v="0"/>
    <x v="3"/>
    <n v="5426.42"/>
    <n v="47"/>
    <x v="0"/>
    <n v="3681.53"/>
    <n v="4076.96"/>
    <x v="0"/>
    <n v="0.17"/>
    <s v="Cash"/>
    <x v="1"/>
    <s v="East-Bob"/>
    <x v="0"/>
    <n v="2"/>
    <n v="2023"/>
  </r>
  <r>
    <n v="1042"/>
    <d v="2023-07-23T00:00:00"/>
    <x v="2"/>
    <x v="1"/>
    <n v="8417.07"/>
    <n v="26"/>
    <x v="3"/>
    <n v="4208.09"/>
    <n v="4226.5600000000004"/>
    <x v="0"/>
    <n v="0.28999999999999998"/>
    <s v="Cash"/>
    <x v="1"/>
    <s v="West-Charlie"/>
    <x v="11"/>
    <n v="7"/>
    <n v="2023"/>
  </r>
  <r>
    <n v="1061"/>
    <d v="2023-09-21T00:00:00"/>
    <x v="2"/>
    <x v="2"/>
    <n v="9895.57"/>
    <n v="25"/>
    <x v="1"/>
    <n v="2747.66"/>
    <n v="3027.0099999999902"/>
    <x v="1"/>
    <n v="0.23"/>
    <s v="Cash"/>
    <x v="0"/>
    <s v="South-Charlie"/>
    <x v="2"/>
    <n v="9"/>
    <n v="2023"/>
  </r>
  <r>
    <n v="1022"/>
    <d v="2023-11-24T00:00:00"/>
    <x v="3"/>
    <x v="1"/>
    <n v="8906.24"/>
    <n v="29"/>
    <x v="0"/>
    <n v="479.58"/>
    <n v="909.88"/>
    <x v="0"/>
    <n v="0.13"/>
    <s v="Credit Card"/>
    <x v="1"/>
    <s v="West-Eve"/>
    <x v="8"/>
    <n v="11"/>
    <n v="2023"/>
  </r>
  <r>
    <n v="1021"/>
    <d v="2023-06-27T00:00:00"/>
    <x v="2"/>
    <x v="0"/>
    <n v="3777.53"/>
    <n v="19"/>
    <x v="3"/>
    <n v="1222.4000000000001"/>
    <n v="1464.71"/>
    <x v="1"/>
    <n v="0"/>
    <s v="Credit Card"/>
    <x v="1"/>
    <s v="North-Charlie"/>
    <x v="6"/>
    <n v="6"/>
    <n v="2023"/>
  </r>
  <r>
    <n v="1070"/>
    <d v="2023-12-14T00:00:00"/>
    <x v="2"/>
    <x v="2"/>
    <n v="2032.15"/>
    <n v="33"/>
    <x v="1"/>
    <n v="866.42"/>
    <n v="878.43"/>
    <x v="1"/>
    <n v="0.09"/>
    <s v="Cash"/>
    <x v="1"/>
    <s v="South-Charlie"/>
    <x v="9"/>
    <n v="12"/>
    <n v="2023"/>
  </r>
  <r>
    <n v="1001"/>
    <d v="2023-11-14T00:00:00"/>
    <x v="1"/>
    <x v="0"/>
    <n v="4944.99"/>
    <n v="36"/>
    <x v="0"/>
    <n v="666.84"/>
    <n v="682.24"/>
    <x v="1"/>
    <n v="0.16"/>
    <s v="Bank Transfer"/>
    <x v="1"/>
    <s v="North-David"/>
    <x v="8"/>
    <n v="11"/>
    <n v="2023"/>
  </r>
  <r>
    <n v="1005"/>
    <d v="2023-03-25T00:00:00"/>
    <x v="0"/>
    <x v="1"/>
    <n v="7442.25"/>
    <n v="14"/>
    <x v="2"/>
    <n v="1861.2"/>
    <n v="2075.35"/>
    <x v="0"/>
    <n v="0.1"/>
    <s v="Credit Card"/>
    <x v="1"/>
    <s v="West-Bob"/>
    <x v="4"/>
    <n v="3"/>
    <n v="2023"/>
  </r>
  <r>
    <n v="1012"/>
    <d v="2023-11-14T00:00:00"/>
    <x v="1"/>
    <x v="0"/>
    <n v="4976.43"/>
    <n v="14"/>
    <x v="3"/>
    <n v="1185.5"/>
    <n v="1271.45"/>
    <x v="0"/>
    <n v="0.03"/>
    <s v="Bank Transfer"/>
    <x v="1"/>
    <s v="North-David"/>
    <x v="8"/>
    <n v="11"/>
    <n v="2023"/>
  </r>
  <r>
    <n v="1090"/>
    <d v="2023-04-21T00:00:00"/>
    <x v="1"/>
    <x v="1"/>
    <n v="4883.49"/>
    <n v="35"/>
    <x v="3"/>
    <n v="1130.5999999999999"/>
    <n v="1466.1799999999901"/>
    <x v="0"/>
    <n v="0.13"/>
    <s v="Cash"/>
    <x v="0"/>
    <s v="West-David"/>
    <x v="1"/>
    <n v="4"/>
    <n v="2023"/>
  </r>
  <r>
    <n v="1046"/>
    <d v="2023-09-08T00:00:00"/>
    <x v="4"/>
    <x v="0"/>
    <n v="8398.48"/>
    <n v="30"/>
    <x v="0"/>
    <n v="320.73"/>
    <n v="678.04"/>
    <x v="0"/>
    <n v="0.08"/>
    <s v="Cash"/>
    <x v="1"/>
    <s v="North-Alice"/>
    <x v="2"/>
    <n v="9"/>
    <n v="2023"/>
  </r>
  <r>
    <n v="1034"/>
    <d v="2023-01-07T00:00:00"/>
    <x v="1"/>
    <x v="1"/>
    <n v="3677.9"/>
    <n v="28"/>
    <x v="0"/>
    <n v="137.47"/>
    <n v="234.63"/>
    <x v="1"/>
    <n v="0.27"/>
    <s v="Bank Transfer"/>
    <x v="1"/>
    <s v="West-David"/>
    <x v="5"/>
    <n v="1"/>
    <n v="2023"/>
  </r>
  <r>
    <n v="1049"/>
    <d v="2023-03-25T00:00:00"/>
    <x v="3"/>
    <x v="3"/>
    <n v="8611.9699999999993"/>
    <n v="17"/>
    <x v="3"/>
    <n v="558.70000000000005"/>
    <n v="1004.08"/>
    <x v="0"/>
    <n v="0.03"/>
    <s v="Credit Card"/>
    <x v="0"/>
    <s v="East-Eve"/>
    <x v="4"/>
    <n v="3"/>
    <n v="2023"/>
  </r>
  <r>
    <n v="1078"/>
    <d v="2023-07-27T00:00:00"/>
    <x v="3"/>
    <x v="0"/>
    <n v="4127.37"/>
    <n v="3"/>
    <x v="2"/>
    <n v="902.38"/>
    <n v="1128.9100000000001"/>
    <x v="1"/>
    <n v="0.01"/>
    <s v="Bank Transfer"/>
    <x v="1"/>
    <s v="North-Eve"/>
    <x v="11"/>
    <n v="7"/>
    <n v="2023"/>
  </r>
  <r>
    <n v="1090"/>
    <d v="2023-11-10T00:00:00"/>
    <x v="4"/>
    <x v="0"/>
    <n v="3349.51"/>
    <n v="16"/>
    <x v="2"/>
    <n v="2183.37"/>
    <n v="2263.3599999999901"/>
    <x v="0"/>
    <n v="0"/>
    <s v="Bank Transfer"/>
    <x v="1"/>
    <s v="North-Alice"/>
    <x v="8"/>
    <n v="11"/>
    <n v="2023"/>
  </r>
  <r>
    <n v="1045"/>
    <d v="2023-01-22T00:00:00"/>
    <x v="0"/>
    <x v="3"/>
    <n v="4594.5"/>
    <n v="46"/>
    <x v="1"/>
    <n v="2577.08"/>
    <n v="2961.56"/>
    <x v="0"/>
    <n v="0.1"/>
    <s v="Cash"/>
    <x v="0"/>
    <s v="East-Bob"/>
    <x v="5"/>
    <n v="1"/>
    <n v="2023"/>
  </r>
  <r>
    <n v="1027"/>
    <d v="2023-01-03T00:00:00"/>
    <x v="0"/>
    <x v="3"/>
    <n v="7648.22"/>
    <n v="30"/>
    <x v="0"/>
    <n v="745.93"/>
    <n v="1143.02"/>
    <x v="0"/>
    <n v="0.2"/>
    <s v="Credit Card"/>
    <x v="0"/>
    <s v="East-Bob"/>
    <x v="5"/>
    <n v="1"/>
    <n v="2023"/>
  </r>
  <r>
    <n v="1073"/>
    <d v="2023-05-07T00:00:00"/>
    <x v="1"/>
    <x v="0"/>
    <n v="1347.42"/>
    <n v="29"/>
    <x v="2"/>
    <n v="2152.6799999999998"/>
    <n v="2475.9299999999998"/>
    <x v="0"/>
    <n v="0.22"/>
    <s v="Bank Transfer"/>
    <x v="0"/>
    <s v="North-David"/>
    <x v="10"/>
    <n v="5"/>
    <n v="2023"/>
  </r>
  <r>
    <n v="1026"/>
    <d v="2023-10-24T00:00:00"/>
    <x v="1"/>
    <x v="3"/>
    <n v="2044.55"/>
    <n v="45"/>
    <x v="1"/>
    <n v="1741.66"/>
    <n v="2169.86"/>
    <x v="0"/>
    <n v="0.14000000000000001"/>
    <s v="Credit Card"/>
    <x v="0"/>
    <s v="East-David"/>
    <x v="7"/>
    <n v="10"/>
    <n v="2023"/>
  </r>
  <r>
    <n v="1047"/>
    <d v="2023-07-07T00:00:00"/>
    <x v="1"/>
    <x v="2"/>
    <n v="9519.2999999999993"/>
    <n v="15"/>
    <x v="2"/>
    <n v="957.95"/>
    <n v="1329.26"/>
    <x v="1"/>
    <n v="0.21"/>
    <s v="Cash"/>
    <x v="0"/>
    <s v="South-David"/>
    <x v="11"/>
    <n v="7"/>
    <n v="2023"/>
  </r>
  <r>
    <n v="1086"/>
    <d v="2023-12-28T00:00:00"/>
    <x v="0"/>
    <x v="1"/>
    <n v="1837.37"/>
    <n v="46"/>
    <x v="0"/>
    <n v="83.86"/>
    <n v="526.14"/>
    <x v="0"/>
    <n v="0.11"/>
    <s v="Credit Card"/>
    <x v="0"/>
    <s v="West-Bob"/>
    <x v="9"/>
    <n v="12"/>
    <n v="2023"/>
  </r>
  <r>
    <n v="1056"/>
    <d v="2023-01-14T00:00:00"/>
    <x v="2"/>
    <x v="1"/>
    <n v="5720.5"/>
    <n v="25"/>
    <x v="1"/>
    <n v="2361.7399999999998"/>
    <n v="2584.35"/>
    <x v="0"/>
    <n v="0.2"/>
    <s v="Cash"/>
    <x v="0"/>
    <s v="West-Charlie"/>
    <x v="5"/>
    <n v="1"/>
    <n v="2023"/>
  </r>
  <r>
    <n v="1094"/>
    <d v="2023-01-12T00:00:00"/>
    <x v="3"/>
    <x v="1"/>
    <n v="5835.21"/>
    <n v="38"/>
    <x v="1"/>
    <n v="3443.98"/>
    <n v="3820.3"/>
    <x v="0"/>
    <n v="0.01"/>
    <s v="Credit Card"/>
    <x v="1"/>
    <s v="West-Eve"/>
    <x v="5"/>
    <n v="1"/>
    <n v="2023"/>
  </r>
  <r>
    <n v="1063"/>
    <d v="2023-03-28T00:00:00"/>
    <x v="2"/>
    <x v="2"/>
    <n v="4947.28"/>
    <n v="42"/>
    <x v="1"/>
    <n v="1170.07"/>
    <n v="1669.94999999999"/>
    <x v="0"/>
    <n v="0.12"/>
    <s v="Bank Transfer"/>
    <x v="1"/>
    <s v="South-Charlie"/>
    <x v="4"/>
    <n v="3"/>
    <n v="2023"/>
  </r>
  <r>
    <n v="1048"/>
    <d v="2023-01-12T00:00:00"/>
    <x v="2"/>
    <x v="3"/>
    <n v="6482.98"/>
    <n v="47"/>
    <x v="2"/>
    <n v="702.44"/>
    <n v="1067.6600000000001"/>
    <x v="1"/>
    <n v="0.24"/>
    <s v="Cash"/>
    <x v="1"/>
    <s v="East-Charlie"/>
    <x v="5"/>
    <n v="1"/>
    <n v="2023"/>
  </r>
  <r>
    <n v="1061"/>
    <d v="2023-01-25T00:00:00"/>
    <x v="0"/>
    <x v="3"/>
    <n v="2375.2800000000002"/>
    <n v="38"/>
    <x v="0"/>
    <n v="4440.8599999999997"/>
    <n v="4506.8099999999904"/>
    <x v="0"/>
    <n v="0.24"/>
    <s v="Bank Transfer"/>
    <x v="0"/>
    <s v="East-Bob"/>
    <x v="5"/>
    <n v="1"/>
    <n v="2023"/>
  </r>
  <r>
    <n v="1081"/>
    <d v="2023-10-28T00:00:00"/>
    <x v="2"/>
    <x v="0"/>
    <n v="5571.36"/>
    <n v="23"/>
    <x v="1"/>
    <n v="1411.37"/>
    <n v="1675.35"/>
    <x v="1"/>
    <n v="0.21"/>
    <s v="Cash"/>
    <x v="1"/>
    <s v="North-Charlie"/>
    <x v="7"/>
    <n v="10"/>
    <n v="2023"/>
  </r>
  <r>
    <n v="1026"/>
    <d v="2023-08-31T00:00:00"/>
    <x v="4"/>
    <x v="3"/>
    <n v="3784.52"/>
    <n v="25"/>
    <x v="3"/>
    <n v="1156.8800000000001"/>
    <n v="1454.68"/>
    <x v="0"/>
    <n v="0.06"/>
    <s v="Credit Card"/>
    <x v="0"/>
    <s v="East-Alice"/>
    <x v="3"/>
    <n v="8"/>
    <n v="2023"/>
  </r>
  <r>
    <n v="1036"/>
    <d v="2023-05-02T00:00:00"/>
    <x v="1"/>
    <x v="0"/>
    <n v="6650.51"/>
    <n v="42"/>
    <x v="0"/>
    <n v="4292.63"/>
    <n v="4387.99"/>
    <x v="1"/>
    <n v="7.0000000000000007E-2"/>
    <s v="Credit Card"/>
    <x v="1"/>
    <s v="North-David"/>
    <x v="10"/>
    <n v="5"/>
    <n v="2023"/>
  </r>
  <r>
    <n v="1001"/>
    <d v="2023-05-27T00:00:00"/>
    <x v="4"/>
    <x v="2"/>
    <n v="1498.11"/>
    <n v="7"/>
    <x v="3"/>
    <n v="4094.68"/>
    <n v="4576.5"/>
    <x v="1"/>
    <n v="0.3"/>
    <s v="Cash"/>
    <x v="1"/>
    <s v="South-Alice"/>
    <x v="10"/>
    <n v="5"/>
    <n v="2023"/>
  </r>
  <r>
    <n v="1008"/>
    <d v="2023-02-24T00:00:00"/>
    <x v="3"/>
    <x v="1"/>
    <n v="5751.69"/>
    <n v="22"/>
    <x v="3"/>
    <n v="2269.3200000000002"/>
    <n v="2365.35"/>
    <x v="1"/>
    <n v="0.03"/>
    <s v="Cash"/>
    <x v="1"/>
    <s v="West-Eve"/>
    <x v="0"/>
    <n v="2"/>
    <n v="2023"/>
  </r>
  <r>
    <n v="1099"/>
    <d v="2023-08-26T00:00:00"/>
    <x v="1"/>
    <x v="1"/>
    <n v="1934.18"/>
    <n v="17"/>
    <x v="1"/>
    <n v="2471.73"/>
    <n v="2568.73"/>
    <x v="1"/>
    <n v="0.05"/>
    <s v="Cash"/>
    <x v="1"/>
    <s v="West-David"/>
    <x v="3"/>
    <n v="8"/>
    <n v="2023"/>
  </r>
  <r>
    <n v="1052"/>
    <d v="2023-12-22T00:00:00"/>
    <x v="2"/>
    <x v="1"/>
    <n v="2858.57"/>
    <n v="18"/>
    <x v="1"/>
    <n v="1127.8599999999999"/>
    <n v="1586.29"/>
    <x v="1"/>
    <n v="0.04"/>
    <s v="Credit Card"/>
    <x v="0"/>
    <s v="West-Charlie"/>
    <x v="9"/>
    <n v="12"/>
    <n v="2023"/>
  </r>
  <r>
    <n v="1079"/>
    <d v="2023-06-22T00:00:00"/>
    <x v="3"/>
    <x v="3"/>
    <n v="2265.23"/>
    <n v="49"/>
    <x v="2"/>
    <n v="437.59"/>
    <n v="675.54"/>
    <x v="0"/>
    <n v="0.1"/>
    <s v="Cash"/>
    <x v="0"/>
    <s v="East-Eve"/>
    <x v="6"/>
    <n v="6"/>
    <n v="2023"/>
  </r>
  <r>
    <n v="1047"/>
    <d v="2023-08-09T00:00:00"/>
    <x v="1"/>
    <x v="0"/>
    <n v="1910.09"/>
    <n v="41"/>
    <x v="2"/>
    <n v="2888.49"/>
    <n v="2929.45"/>
    <x v="1"/>
    <n v="0.06"/>
    <s v="Cash"/>
    <x v="1"/>
    <s v="North-David"/>
    <x v="3"/>
    <n v="8"/>
    <n v="2023"/>
  </r>
  <r>
    <n v="1056"/>
    <d v="2023-04-29T00:00:00"/>
    <x v="2"/>
    <x v="0"/>
    <n v="8274.5400000000009"/>
    <n v="10"/>
    <x v="2"/>
    <n v="536.80999999999995"/>
    <n v="839.92"/>
    <x v="0"/>
    <n v="0.15"/>
    <s v="Bank Transfer"/>
    <x v="0"/>
    <s v="North-Charlie"/>
    <x v="1"/>
    <n v="4"/>
    <n v="2023"/>
  </r>
  <r>
    <n v="1086"/>
    <d v="2023-11-05T00:00:00"/>
    <x v="4"/>
    <x v="2"/>
    <n v="2928.5"/>
    <n v="10"/>
    <x v="0"/>
    <n v="2273.91"/>
    <n v="2578.7999999999902"/>
    <x v="1"/>
    <n v="0.14000000000000001"/>
    <s v="Cash"/>
    <x v="0"/>
    <s v="South-Alice"/>
    <x v="8"/>
    <n v="11"/>
    <n v="2023"/>
  </r>
  <r>
    <n v="1014"/>
    <d v="2023-07-02T00:00:00"/>
    <x v="1"/>
    <x v="3"/>
    <n v="9278.5300000000007"/>
    <n v="7"/>
    <x v="2"/>
    <n v="4705.46"/>
    <n v="4747.07"/>
    <x v="1"/>
    <n v="0.27"/>
    <s v="Bank Transfer"/>
    <x v="1"/>
    <s v="East-David"/>
    <x v="11"/>
    <n v="7"/>
    <n v="2023"/>
  </r>
  <r>
    <n v="1090"/>
    <d v="2023-10-15T00:00:00"/>
    <x v="2"/>
    <x v="2"/>
    <n v="9702.27"/>
    <n v="48"/>
    <x v="3"/>
    <n v="4766.53"/>
    <n v="5253.07"/>
    <x v="0"/>
    <n v="0.01"/>
    <s v="Bank Transfer"/>
    <x v="0"/>
    <s v="South-Charlie"/>
    <x v="7"/>
    <n v="10"/>
    <n v="2023"/>
  </r>
  <r>
    <n v="1028"/>
    <d v="2023-11-03T00:00:00"/>
    <x v="4"/>
    <x v="0"/>
    <n v="5755.48"/>
    <n v="38"/>
    <x v="2"/>
    <n v="1234.69"/>
    <n v="1511.26"/>
    <x v="1"/>
    <n v="0.1"/>
    <s v="Bank Transfer"/>
    <x v="0"/>
    <s v="North-Alice"/>
    <x v="8"/>
    <n v="11"/>
    <n v="2023"/>
  </r>
  <r>
    <n v="1087"/>
    <d v="2023-10-27T00:00:00"/>
    <x v="3"/>
    <x v="0"/>
    <n v="1515.71"/>
    <n v="27"/>
    <x v="1"/>
    <n v="3139.36"/>
    <n v="3423.66"/>
    <x v="1"/>
    <n v="0.18"/>
    <s v="Credit Card"/>
    <x v="0"/>
    <s v="North-Eve"/>
    <x v="7"/>
    <n v="10"/>
    <n v="2023"/>
  </r>
  <r>
    <n v="1078"/>
    <d v="2023-03-23T00:00:00"/>
    <x v="3"/>
    <x v="1"/>
    <n v="3808.03"/>
    <n v="33"/>
    <x v="2"/>
    <n v="2396.6799999999998"/>
    <n v="2661.54"/>
    <x v="1"/>
    <n v="0.18"/>
    <s v="Bank Transfer"/>
    <x v="0"/>
    <s v="West-Eve"/>
    <x v="4"/>
    <n v="3"/>
    <n v="2023"/>
  </r>
  <r>
    <n v="1088"/>
    <d v="2023-07-30T00:00:00"/>
    <x v="3"/>
    <x v="3"/>
    <n v="7997.55"/>
    <n v="1"/>
    <x v="0"/>
    <n v="4384.6400000000003"/>
    <n v="4693.8999999999996"/>
    <x v="1"/>
    <n v="0.14000000000000001"/>
    <s v="Cash"/>
    <x v="1"/>
    <s v="East-Eve"/>
    <x v="11"/>
    <n v="7"/>
    <n v="2023"/>
  </r>
  <r>
    <n v="1002"/>
    <d v="2023-05-30T00:00:00"/>
    <x v="3"/>
    <x v="0"/>
    <n v="3737.17"/>
    <n v="44"/>
    <x v="0"/>
    <n v="1393.58"/>
    <n v="1533.09"/>
    <x v="0"/>
    <n v="0.24"/>
    <s v="Credit Card"/>
    <x v="1"/>
    <s v="North-Eve"/>
    <x v="10"/>
    <n v="5"/>
    <n v="2023"/>
  </r>
  <r>
    <n v="1026"/>
    <d v="2023-02-06T00:00:00"/>
    <x v="0"/>
    <x v="1"/>
    <n v="961.47"/>
    <n v="34"/>
    <x v="3"/>
    <n v="68.33"/>
    <n v="219.07999999999899"/>
    <x v="1"/>
    <n v="0.02"/>
    <s v="Credit Card"/>
    <x v="0"/>
    <s v="West-Bob"/>
    <x v="0"/>
    <n v="2"/>
    <n v="2023"/>
  </r>
  <r>
    <n v="1014"/>
    <d v="2023-12-18T00:00:00"/>
    <x v="1"/>
    <x v="3"/>
    <n v="5612.17"/>
    <n v="4"/>
    <x v="0"/>
    <n v="854.68"/>
    <n v="1115.24"/>
    <x v="1"/>
    <n v="0.24"/>
    <s v="Credit Card"/>
    <x v="1"/>
    <s v="East-David"/>
    <x v="9"/>
    <n v="12"/>
    <n v="2023"/>
  </r>
  <r>
    <n v="1059"/>
    <d v="2023-11-08T00:00:00"/>
    <x v="1"/>
    <x v="2"/>
    <n v="8466.7000000000007"/>
    <n v="17"/>
    <x v="2"/>
    <n v="1780.14"/>
    <n v="2185.42"/>
    <x v="0"/>
    <n v="0.15"/>
    <s v="Credit Card"/>
    <x v="1"/>
    <s v="South-David"/>
    <x v="8"/>
    <n v="11"/>
    <n v="2023"/>
  </r>
  <r>
    <n v="1056"/>
    <d v="2023-12-27T00:00:00"/>
    <x v="0"/>
    <x v="3"/>
    <n v="7979.67"/>
    <n v="4"/>
    <x v="1"/>
    <n v="1612.82"/>
    <n v="1647.25"/>
    <x v="0"/>
    <n v="0.04"/>
    <s v="Credit Card"/>
    <x v="1"/>
    <s v="East-Bob"/>
    <x v="9"/>
    <n v="12"/>
    <n v="2023"/>
  </r>
  <r>
    <n v="1007"/>
    <d v="2023-02-28T00:00:00"/>
    <x v="2"/>
    <x v="3"/>
    <n v="1833.72"/>
    <n v="43"/>
    <x v="0"/>
    <n v="3967.25"/>
    <n v="4272.92"/>
    <x v="1"/>
    <n v="0.27"/>
    <s v="Credit Card"/>
    <x v="0"/>
    <s v="East-Charlie"/>
    <x v="0"/>
    <n v="2"/>
    <n v="2023"/>
  </r>
  <r>
    <n v="1003"/>
    <d v="2023-05-11T00:00:00"/>
    <x v="2"/>
    <x v="0"/>
    <n v="6760.37"/>
    <n v="26"/>
    <x v="3"/>
    <n v="3418.78"/>
    <n v="3824.1"/>
    <x v="1"/>
    <n v="0.19"/>
    <s v="Credit Card"/>
    <x v="0"/>
    <s v="North-Charlie"/>
    <x v="10"/>
    <n v="5"/>
    <n v="2023"/>
  </r>
  <r>
    <n v="1023"/>
    <d v="2023-07-21T00:00:00"/>
    <x v="3"/>
    <x v="0"/>
    <n v="2282.9899999999998"/>
    <n v="4"/>
    <x v="2"/>
    <n v="1532.8"/>
    <n v="1619.69"/>
    <x v="0"/>
    <n v="0.05"/>
    <s v="Bank Transfer"/>
    <x v="1"/>
    <s v="North-Eve"/>
    <x v="11"/>
    <n v="7"/>
    <n v="2023"/>
  </r>
  <r>
    <n v="1018"/>
    <d v="2023-08-31T00:00:00"/>
    <x v="4"/>
    <x v="3"/>
    <n v="2260.25"/>
    <n v="1"/>
    <x v="3"/>
    <n v="2315.83"/>
    <n v="2333.19"/>
    <x v="1"/>
    <n v="0.01"/>
    <s v="Cash"/>
    <x v="1"/>
    <s v="East-Alice"/>
    <x v="3"/>
    <n v="8"/>
    <n v="2023"/>
  </r>
  <r>
    <n v="1038"/>
    <d v="2023-02-04T00:00:00"/>
    <x v="2"/>
    <x v="0"/>
    <n v="8753.31"/>
    <n v="7"/>
    <x v="0"/>
    <n v="523.02"/>
    <n v="686.25"/>
    <x v="0"/>
    <n v="0.04"/>
    <s v="Cash"/>
    <x v="0"/>
    <s v="North-Charlie"/>
    <x v="0"/>
    <n v="2"/>
    <n v="2023"/>
  </r>
  <r>
    <n v="1099"/>
    <d v="2023-04-03T00:00:00"/>
    <x v="4"/>
    <x v="0"/>
    <n v="2571.7199999999998"/>
    <n v="30"/>
    <x v="0"/>
    <n v="4495.82"/>
    <n v="4794.0099999999902"/>
    <x v="1"/>
    <n v="0.18"/>
    <s v="Bank Transfer"/>
    <x v="1"/>
    <s v="North-Alice"/>
    <x v="1"/>
    <n v="4"/>
    <n v="2023"/>
  </r>
  <r>
    <n v="1015"/>
    <d v="2023-07-26T00:00:00"/>
    <x v="1"/>
    <x v="0"/>
    <n v="2706.15"/>
    <n v="9"/>
    <x v="3"/>
    <n v="4680.3500000000004"/>
    <n v="4758.1099999999997"/>
    <x v="0"/>
    <n v="0.05"/>
    <s v="Bank Transfer"/>
    <x v="0"/>
    <s v="North-David"/>
    <x v="11"/>
    <n v="7"/>
    <n v="2023"/>
  </r>
  <r>
    <n v="1064"/>
    <d v="2023-12-19T00:00:00"/>
    <x v="4"/>
    <x v="1"/>
    <n v="106.47"/>
    <n v="35"/>
    <x v="2"/>
    <n v="4900.03"/>
    <n v="5118.83"/>
    <x v="0"/>
    <n v="7.0000000000000007E-2"/>
    <s v="Credit Card"/>
    <x v="1"/>
    <s v="West-Alice"/>
    <x v="9"/>
    <n v="12"/>
    <n v="2023"/>
  </r>
  <r>
    <n v="1089"/>
    <d v="2023-11-28T00:00:00"/>
    <x v="1"/>
    <x v="1"/>
    <n v="8719.6200000000008"/>
    <n v="8"/>
    <x v="0"/>
    <n v="4349.34"/>
    <n v="4629.9799999999996"/>
    <x v="0"/>
    <n v="0.01"/>
    <s v="Credit Card"/>
    <x v="0"/>
    <s v="West-David"/>
    <x v="8"/>
    <n v="11"/>
    <n v="2023"/>
  </r>
  <r>
    <n v="1028"/>
    <d v="2023-11-01T00:00:00"/>
    <x v="0"/>
    <x v="3"/>
    <n v="7946.69"/>
    <n v="24"/>
    <x v="1"/>
    <n v="911.11"/>
    <n v="1214.56"/>
    <x v="1"/>
    <n v="0.22"/>
    <s v="Bank Transfer"/>
    <x v="0"/>
    <s v="East-Bob"/>
    <x v="8"/>
    <n v="11"/>
    <n v="2023"/>
  </r>
  <r>
    <n v="1074"/>
    <d v="2023-12-16T00:00:00"/>
    <x v="0"/>
    <x v="0"/>
    <n v="6310.56"/>
    <n v="19"/>
    <x v="0"/>
    <n v="278.67"/>
    <n v="423.13"/>
    <x v="1"/>
    <n v="0.24"/>
    <s v="Credit Card"/>
    <x v="0"/>
    <s v="North-Bob"/>
    <x v="9"/>
    <n v="12"/>
    <n v="2023"/>
  </r>
  <r>
    <n v="1039"/>
    <d v="2023-08-01T00:00:00"/>
    <x v="3"/>
    <x v="1"/>
    <n v="7527.63"/>
    <n v="36"/>
    <x v="2"/>
    <n v="2919"/>
    <n v="3125.01"/>
    <x v="1"/>
    <n v="0.24"/>
    <s v="Cash"/>
    <x v="0"/>
    <s v="West-Eve"/>
    <x v="3"/>
    <n v="8"/>
    <n v="2023"/>
  </r>
  <r>
    <n v="1057"/>
    <d v="2023-06-08T00:00:00"/>
    <x v="2"/>
    <x v="3"/>
    <n v="1605.28"/>
    <n v="43"/>
    <x v="0"/>
    <n v="4567.3900000000003"/>
    <n v="4958.78"/>
    <x v="1"/>
    <n v="0.04"/>
    <s v="Cash"/>
    <x v="1"/>
    <s v="East-Charlie"/>
    <x v="6"/>
    <n v="6"/>
    <n v="2023"/>
  </r>
  <r>
    <n v="1017"/>
    <d v="2023-01-24T00:00:00"/>
    <x v="3"/>
    <x v="0"/>
    <n v="4637.3999999999996"/>
    <n v="27"/>
    <x v="3"/>
    <n v="927.89"/>
    <n v="1399.09"/>
    <x v="0"/>
    <n v="0.27"/>
    <s v="Credit Card"/>
    <x v="0"/>
    <s v="North-Eve"/>
    <x v="5"/>
    <n v="1"/>
    <n v="2023"/>
  </r>
  <r>
    <n v="1086"/>
    <d v="2023-10-20T00:00:00"/>
    <x v="1"/>
    <x v="2"/>
    <n v="3577.07"/>
    <n v="32"/>
    <x v="0"/>
    <n v="84.86"/>
    <n v="517.17999999999995"/>
    <x v="0"/>
    <n v="0.2"/>
    <s v="Credit Card"/>
    <x v="1"/>
    <s v="South-David"/>
    <x v="7"/>
    <n v="10"/>
    <n v="2023"/>
  </r>
  <r>
    <n v="1090"/>
    <d v="2023-01-04T00:00:00"/>
    <x v="3"/>
    <x v="0"/>
    <n v="1028.3900000000001"/>
    <n v="14"/>
    <x v="0"/>
    <n v="4037.21"/>
    <n v="4323.71"/>
    <x v="0"/>
    <n v="0.27"/>
    <s v="Credit Card"/>
    <x v="0"/>
    <s v="North-Eve"/>
    <x v="5"/>
    <n v="1"/>
    <n v="2023"/>
  </r>
  <r>
    <n v="1044"/>
    <d v="2023-08-08T00:00:00"/>
    <x v="4"/>
    <x v="0"/>
    <n v="4912.6899999999996"/>
    <n v="18"/>
    <x v="2"/>
    <n v="430.14"/>
    <n v="641.17999999999995"/>
    <x v="1"/>
    <n v="0.13"/>
    <s v="Cash"/>
    <x v="0"/>
    <s v="North-Alice"/>
    <x v="3"/>
    <n v="8"/>
    <n v="2023"/>
  </r>
  <r>
    <n v="1025"/>
    <d v="2023-12-30T00:00:00"/>
    <x v="1"/>
    <x v="1"/>
    <n v="9215.32"/>
    <n v="28"/>
    <x v="3"/>
    <n v="2097.84"/>
    <n v="2270.9899999999998"/>
    <x v="1"/>
    <n v="0.13"/>
    <s v="Credit Card"/>
    <x v="1"/>
    <s v="West-David"/>
    <x v="9"/>
    <n v="12"/>
    <n v="2023"/>
  </r>
  <r>
    <n v="1017"/>
    <d v="2023-01-20T00:00:00"/>
    <x v="0"/>
    <x v="3"/>
    <n v="496.59"/>
    <n v="29"/>
    <x v="2"/>
    <n v="3410.49"/>
    <n v="3481.72"/>
    <x v="1"/>
    <n v="0.24"/>
    <s v="Bank Transfer"/>
    <x v="1"/>
    <s v="East-Bob"/>
    <x v="5"/>
    <n v="1"/>
    <n v="2023"/>
  </r>
  <r>
    <n v="1013"/>
    <d v="2023-06-01T00:00:00"/>
    <x v="2"/>
    <x v="3"/>
    <n v="2985.46"/>
    <n v="16"/>
    <x v="0"/>
    <n v="1222.1500000000001"/>
    <n v="1284.3599999999999"/>
    <x v="0"/>
    <n v="0.03"/>
    <s v="Credit Card"/>
    <x v="1"/>
    <s v="East-Charlie"/>
    <x v="6"/>
    <n v="6"/>
    <n v="2023"/>
  </r>
  <r>
    <n v="1084"/>
    <d v="2023-02-19T00:00:00"/>
    <x v="1"/>
    <x v="1"/>
    <n v="2154.66"/>
    <n v="35"/>
    <x v="1"/>
    <n v="465.61"/>
    <n v="812.91"/>
    <x v="1"/>
    <n v="0.16"/>
    <s v="Bank Transfer"/>
    <x v="0"/>
    <s v="West-David"/>
    <x v="0"/>
    <n v="2"/>
    <n v="2023"/>
  </r>
  <r>
    <n v="1025"/>
    <d v="2023-06-26T00:00:00"/>
    <x v="1"/>
    <x v="0"/>
    <n v="2457.65"/>
    <n v="47"/>
    <x v="0"/>
    <n v="3861.61"/>
    <n v="3998.91"/>
    <x v="1"/>
    <n v="0.25"/>
    <s v="Credit Card"/>
    <x v="0"/>
    <s v="North-David"/>
    <x v="6"/>
    <n v="6"/>
    <n v="2023"/>
  </r>
  <r>
    <n v="1068"/>
    <d v="2023-04-06T00:00:00"/>
    <x v="4"/>
    <x v="2"/>
    <n v="9093.5"/>
    <n v="31"/>
    <x v="2"/>
    <n v="3169.37"/>
    <n v="3304.15"/>
    <x v="0"/>
    <n v="0.25"/>
    <s v="Credit Card"/>
    <x v="1"/>
    <s v="South-Alice"/>
    <x v="1"/>
    <n v="4"/>
    <n v="2023"/>
  </r>
  <r>
    <n v="1010"/>
    <d v="2023-04-15T00:00:00"/>
    <x v="2"/>
    <x v="0"/>
    <n v="4733.88"/>
    <n v="4"/>
    <x v="1"/>
    <n v="4943.03"/>
    <n v="5442.15"/>
    <x v="0"/>
    <n v="0.28999999999999998"/>
    <s v="Cash"/>
    <x v="0"/>
    <s v="North-Charlie"/>
    <x v="1"/>
    <n v="4"/>
    <n v="2023"/>
  </r>
  <r>
    <n v="1067"/>
    <d v="2023-09-07T00:00:00"/>
    <x v="0"/>
    <x v="0"/>
    <n v="4716.3599999999997"/>
    <n v="37"/>
    <x v="2"/>
    <n v="1754.32"/>
    <n v="1856.3999999999901"/>
    <x v="1"/>
    <n v="0.21"/>
    <s v="Bank Transfer"/>
    <x v="1"/>
    <s v="North-Bob"/>
    <x v="2"/>
    <n v="9"/>
    <n v="2023"/>
  </r>
  <r>
    <n v="1018"/>
    <d v="2023-04-27T00:00:00"/>
    <x v="1"/>
    <x v="2"/>
    <n v="7629.7"/>
    <n v="17"/>
    <x v="2"/>
    <n v="355.72"/>
    <n v="438.27"/>
    <x v="0"/>
    <n v="0.06"/>
    <s v="Bank Transfer"/>
    <x v="0"/>
    <s v="South-David"/>
    <x v="1"/>
    <n v="4"/>
    <n v="2023"/>
  </r>
  <r>
    <n v="1100"/>
    <d v="2023-12-20T00:00:00"/>
    <x v="1"/>
    <x v="1"/>
    <n v="1629.47"/>
    <n v="39"/>
    <x v="3"/>
    <n v="3685.03"/>
    <n v="3743.39"/>
    <x v="1"/>
    <n v="0.01"/>
    <s v="Bank Transfer"/>
    <x v="0"/>
    <s v="West-David"/>
    <x v="9"/>
    <n v="12"/>
    <n v="2023"/>
  </r>
  <r>
    <n v="1086"/>
    <d v="2023-08-16T00:00:00"/>
    <x v="4"/>
    <x v="3"/>
    <n v="4923.93"/>
    <n v="48"/>
    <x v="1"/>
    <n v="2632.58"/>
    <n v="2926.68"/>
    <x v="0"/>
    <n v="0.14000000000000001"/>
    <s v="Cash"/>
    <x v="0"/>
    <s v="East-Alice"/>
    <x v="3"/>
    <n v="8"/>
    <n v="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Customer Type">
  <location ref="G15:H18" firstHeaderRow="1" firstDataRow="1" firstDataCol="1"/>
  <pivotFields count="17">
    <pivotField showAll="0"/>
    <pivotField numFmtId="14" showAll="0"/>
    <pivotField showAll="0"/>
    <pivotField showAll="0"/>
    <pivotField dataField="1" numFmtId="165" showAll="0"/>
    <pivotField numFmtId="2" showAll="0"/>
    <pivotField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 v="1"/>
    </i>
    <i>
      <x/>
    </i>
    <i t="grand">
      <x/>
    </i>
  </rowItems>
  <colItems count="1">
    <i/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 Rep">
  <location ref="D15:E21" firstHeaderRow="1" firstDataRow="1" firstDataCol="1"/>
  <pivotFields count="17">
    <pivotField showAll="0"/>
    <pivotField numFmtId="14" showAll="0"/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5" showAll="0"/>
    <pivotField numFmtId="2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3"/>
    </i>
    <i>
      <x v="1"/>
    </i>
    <i>
      <x v="4"/>
    </i>
    <i>
      <x/>
    </i>
    <i>
      <x v="2"/>
    </i>
    <i t="grand">
      <x/>
    </i>
  </rowItems>
  <colItems count="1">
    <i/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s category">
  <location ref="G7:H12" firstHeaderRow="1" firstDataRow="1" firstDataCol="1"/>
  <pivotFields count="17">
    <pivotField showAll="0"/>
    <pivotField numFmtId="14" showAll="0"/>
    <pivotField showAll="0"/>
    <pivotField showAll="0"/>
    <pivotField dataField="1" numFmtId="165" showAll="0"/>
    <pivotField numFmtId="2"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D7:E12" firstHeaderRow="1" firstDataRow="1" firstDataCol="1"/>
  <pivotFields count="17">
    <pivotField showAll="0"/>
    <pivotField numFmtId="14"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numFmtId="2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Months">
  <location ref="A7:B20" firstHeaderRow="1" firstDataRow="1" firstDataCol="1"/>
  <pivotFields count="17">
    <pivotField showAll="0"/>
    <pivotField numFmtId="14" showAll="0"/>
    <pivotField showAll="0"/>
    <pivotField showAll="0"/>
    <pivotField dataField="1" numFmtId="165" showAll="0"/>
    <pivotField numFmtId="2"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Row" showAll="0">
      <items count="13">
        <item x="5"/>
        <item x="0"/>
        <item x="4"/>
        <item x="1"/>
        <item x="10"/>
        <item x="6"/>
        <item x="11"/>
        <item x="3"/>
        <item x="2"/>
        <item x="7"/>
        <item x="8"/>
        <item x="9"/>
        <item t="default"/>
      </items>
    </pivotField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Q1001" totalsRowShown="0">
  <autoFilter ref="A1:Q1001"/>
  <tableColumns count="17">
    <tableColumn id="1" name="Product_ID"/>
    <tableColumn id="2" name="Sale_Date" dataDxfId="15"/>
    <tableColumn id="3" name="Sales_Rep"/>
    <tableColumn id="4" name="Region"/>
    <tableColumn id="5" name="Sales_Amount" dataDxfId="14"/>
    <tableColumn id="6" name="Quantity_Sold" dataDxfId="13"/>
    <tableColumn id="7" name="Product_Category"/>
    <tableColumn id="8" name="Unit_Cost"/>
    <tableColumn id="9" name="Unit_Price"/>
    <tableColumn id="10" name="Customer_Type"/>
    <tableColumn id="11" name="Discount" dataDxfId="12"/>
    <tableColumn id="12" name="Payment_Method"/>
    <tableColumn id="13" name="Sales_Channel"/>
    <tableColumn id="14" name="Region_and_Sales_Rep"/>
    <tableColumn id="15" name="Month" dataDxfId="11">
      <calculatedColumnFormula>TEXT(B2,"mmmm")</calculatedColumnFormula>
    </tableColumn>
    <tableColumn id="16" name="Month number" dataDxfId="10">
      <calculatedColumnFormula>MONTH(B2)</calculatedColumnFormula>
    </tableColumn>
    <tableColumn id="17" name="Year" dataDxfId="9">
      <calculatedColumnFormula>YEAR(B2)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2" totalsRowShown="0" headerRowDxfId="8" dataDxfId="7" tableBorderDxfId="6">
  <autoFilter ref="A1:F2"/>
  <tableColumns count="6">
    <tableColumn id="1" name="Total Sales" dataDxfId="5">
      <calculatedColumnFormula>SUM(Dataset!E:E)</calculatedColumnFormula>
    </tableColumn>
    <tableColumn id="2" name="Total Quantity" dataDxfId="4">
      <calculatedColumnFormula>SUM(Dataset!F:F)</calculatedColumnFormula>
    </tableColumn>
    <tableColumn id="3" name="Average Sale" dataDxfId="3">
      <calculatedColumnFormula>AVERAGE(Dataset!E:E)</calculatedColumnFormula>
    </tableColumn>
    <tableColumn id="4" name="Maximum Sale" dataDxfId="2">
      <calculatedColumnFormula>MAX(Dataset!E:E)</calculatedColumnFormula>
    </tableColumn>
    <tableColumn id="5" name="Minimum Sale" dataDxfId="1">
      <calculatedColumnFormula>MIN(Dataset!E:E)</calculatedColumnFormula>
    </tableColumn>
    <tableColumn id="6" name="Total Transactions" dataDxfId="0">
      <calculatedColumnFormula>COUNTA(Dataset!A:A)-1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A2" workbookViewId="0">
      <selection activeCell="I15" sqref="I15"/>
    </sheetView>
  </sheetViews>
  <sheetFormatPr defaultRowHeight="15" x14ac:dyDescent="0.25"/>
  <cols>
    <col min="1" max="1" width="12.85546875" customWidth="1"/>
    <col min="2" max="2" width="12" customWidth="1"/>
    <col min="3" max="3" width="12.140625" customWidth="1"/>
    <col min="4" max="4" width="9.28515625" customWidth="1"/>
    <col min="5" max="5" width="15.85546875" customWidth="1"/>
    <col min="6" max="6" width="15.7109375" customWidth="1"/>
    <col min="7" max="7" width="18.85546875" customWidth="1"/>
    <col min="8" max="8" width="11.85546875" customWidth="1"/>
    <col min="9" max="9" width="12.42578125" customWidth="1"/>
    <col min="10" max="10" width="17" customWidth="1"/>
    <col min="11" max="11" width="10.85546875" customWidth="1"/>
    <col min="12" max="12" width="19.140625" customWidth="1"/>
    <col min="13" max="13" width="16" customWidth="1"/>
    <col min="14" max="14" width="23.5703125" customWidth="1"/>
    <col min="15" max="15" width="11.42578125" customWidth="1"/>
    <col min="16" max="16" width="19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54</v>
      </c>
      <c r="P1" t="s">
        <v>55</v>
      </c>
      <c r="Q1" t="s">
        <v>56</v>
      </c>
    </row>
    <row r="2" spans="1:17" x14ac:dyDescent="0.25">
      <c r="A2" s="3">
        <v>1052</v>
      </c>
      <c r="B2" s="1">
        <v>44960</v>
      </c>
      <c r="C2" t="s">
        <v>14</v>
      </c>
      <c r="D2" t="s">
        <v>15</v>
      </c>
      <c r="E2" s="4">
        <v>5053.97</v>
      </c>
      <c r="F2" s="2">
        <v>18</v>
      </c>
      <c r="G2" t="s">
        <v>16</v>
      </c>
      <c r="H2">
        <v>152.75</v>
      </c>
      <c r="I2">
        <v>267.22000000000003</v>
      </c>
      <c r="J2" t="s">
        <v>17</v>
      </c>
      <c r="K2" s="5">
        <v>0.09</v>
      </c>
      <c r="L2" t="s">
        <v>18</v>
      </c>
      <c r="M2" t="s">
        <v>19</v>
      </c>
      <c r="N2" t="s">
        <v>20</v>
      </c>
      <c r="O2" t="str">
        <f t="shared" ref="O2:O65" si="0">TEXT(B2,"mmmm")</f>
        <v>February</v>
      </c>
      <c r="P2">
        <v>2</v>
      </c>
      <c r="Q2">
        <f t="shared" ref="Q2:Q65" si="1">YEAR(B2)</f>
        <v>2023</v>
      </c>
    </row>
    <row r="3" spans="1:17" x14ac:dyDescent="0.25">
      <c r="A3">
        <v>1093</v>
      </c>
      <c r="B3" s="1">
        <v>45037</v>
      </c>
      <c r="C3" t="s">
        <v>14</v>
      </c>
      <c r="D3" t="s">
        <v>21</v>
      </c>
      <c r="E3" s="4">
        <v>4384.0200000000004</v>
      </c>
      <c r="F3" s="2">
        <v>17</v>
      </c>
      <c r="G3" t="s">
        <v>16</v>
      </c>
      <c r="H3">
        <v>3816.39</v>
      </c>
      <c r="I3">
        <v>4209.4399999999996</v>
      </c>
      <c r="J3" t="s">
        <v>17</v>
      </c>
      <c r="K3" s="5">
        <v>0.11</v>
      </c>
      <c r="L3" t="s">
        <v>18</v>
      </c>
      <c r="M3" t="s">
        <v>22</v>
      </c>
      <c r="N3" t="s">
        <v>23</v>
      </c>
      <c r="O3" t="str">
        <f t="shared" si="0"/>
        <v>April</v>
      </c>
      <c r="P3">
        <f t="shared" ref="P2:P65" si="2">MONTH(B3)</f>
        <v>4</v>
      </c>
      <c r="Q3">
        <f t="shared" si="1"/>
        <v>2023</v>
      </c>
    </row>
    <row r="4" spans="1:17" x14ac:dyDescent="0.25">
      <c r="A4">
        <v>1015</v>
      </c>
      <c r="B4" s="1">
        <v>45190</v>
      </c>
      <c r="C4" t="s">
        <v>24</v>
      </c>
      <c r="D4" t="s">
        <v>25</v>
      </c>
      <c r="E4" s="4">
        <v>4631.2299999999996</v>
      </c>
      <c r="F4" s="2">
        <v>30</v>
      </c>
      <c r="G4" t="s">
        <v>26</v>
      </c>
      <c r="H4">
        <v>261.56</v>
      </c>
      <c r="I4">
        <v>371.4</v>
      </c>
      <c r="J4" t="s">
        <v>17</v>
      </c>
      <c r="K4" s="5">
        <v>0.2</v>
      </c>
      <c r="L4" t="s">
        <v>27</v>
      </c>
      <c r="M4" t="s">
        <v>22</v>
      </c>
      <c r="N4" t="s">
        <v>28</v>
      </c>
      <c r="O4" t="str">
        <f t="shared" si="0"/>
        <v>September</v>
      </c>
      <c r="P4">
        <f t="shared" si="2"/>
        <v>9</v>
      </c>
      <c r="Q4">
        <f t="shared" si="1"/>
        <v>2023</v>
      </c>
    </row>
    <row r="5" spans="1:17" x14ac:dyDescent="0.25">
      <c r="A5">
        <v>1072</v>
      </c>
      <c r="B5" s="1">
        <v>45162</v>
      </c>
      <c r="C5" t="s">
        <v>14</v>
      </c>
      <c r="D5" t="s">
        <v>25</v>
      </c>
      <c r="E5" s="4">
        <v>2167.94</v>
      </c>
      <c r="F5" s="2">
        <v>39</v>
      </c>
      <c r="G5" t="s">
        <v>29</v>
      </c>
      <c r="H5">
        <v>4330.03</v>
      </c>
      <c r="I5">
        <v>4467.75</v>
      </c>
      <c r="J5" t="s">
        <v>30</v>
      </c>
      <c r="K5" s="5">
        <v>0.02</v>
      </c>
      <c r="L5" t="s">
        <v>31</v>
      </c>
      <c r="M5" t="s">
        <v>22</v>
      </c>
      <c r="N5" t="s">
        <v>32</v>
      </c>
      <c r="O5" t="str">
        <f t="shared" si="0"/>
        <v>August</v>
      </c>
      <c r="P5">
        <f t="shared" si="2"/>
        <v>8</v>
      </c>
      <c r="Q5">
        <f t="shared" si="1"/>
        <v>2023</v>
      </c>
    </row>
    <row r="6" spans="1:17" x14ac:dyDescent="0.25">
      <c r="A6">
        <v>1061</v>
      </c>
      <c r="B6" s="1">
        <v>45009</v>
      </c>
      <c r="C6" t="s">
        <v>33</v>
      </c>
      <c r="D6" t="s">
        <v>34</v>
      </c>
      <c r="E6" s="4">
        <v>3750.2</v>
      </c>
      <c r="F6" s="2">
        <v>13</v>
      </c>
      <c r="G6" t="s">
        <v>35</v>
      </c>
      <c r="H6">
        <v>637.37</v>
      </c>
      <c r="I6">
        <v>692.71</v>
      </c>
      <c r="J6" t="s">
        <v>30</v>
      </c>
      <c r="K6" s="5">
        <v>0.08</v>
      </c>
      <c r="L6" t="s">
        <v>31</v>
      </c>
      <c r="M6" t="s">
        <v>19</v>
      </c>
      <c r="N6" t="s">
        <v>36</v>
      </c>
      <c r="O6" t="str">
        <f t="shared" si="0"/>
        <v>March</v>
      </c>
      <c r="P6">
        <f t="shared" si="2"/>
        <v>3</v>
      </c>
      <c r="Q6">
        <f t="shared" si="1"/>
        <v>2023</v>
      </c>
    </row>
    <row r="7" spans="1:17" x14ac:dyDescent="0.25">
      <c r="A7">
        <v>1021</v>
      </c>
      <c r="B7" s="1">
        <v>44968</v>
      </c>
      <c r="C7" t="s">
        <v>33</v>
      </c>
      <c r="D7" t="s">
        <v>21</v>
      </c>
      <c r="E7" s="4">
        <v>3761.15</v>
      </c>
      <c r="F7" s="2">
        <v>32</v>
      </c>
      <c r="G7" t="s">
        <v>26</v>
      </c>
      <c r="H7">
        <v>900.79</v>
      </c>
      <c r="I7">
        <v>1106.51</v>
      </c>
      <c r="J7" t="s">
        <v>30</v>
      </c>
      <c r="K7" s="5">
        <v>0.21</v>
      </c>
      <c r="L7" t="s">
        <v>18</v>
      </c>
      <c r="M7" t="s">
        <v>19</v>
      </c>
      <c r="N7" t="s">
        <v>37</v>
      </c>
      <c r="O7" t="str">
        <f t="shared" si="0"/>
        <v>February</v>
      </c>
      <c r="P7">
        <f t="shared" si="2"/>
        <v>2</v>
      </c>
      <c r="Q7">
        <f t="shared" si="1"/>
        <v>2023</v>
      </c>
    </row>
    <row r="8" spans="1:17" x14ac:dyDescent="0.25">
      <c r="A8">
        <v>1083</v>
      </c>
      <c r="B8" s="1">
        <v>45027</v>
      </c>
      <c r="C8" t="s">
        <v>14</v>
      </c>
      <c r="D8" t="s">
        <v>21</v>
      </c>
      <c r="E8" s="4">
        <v>618.30999999999995</v>
      </c>
      <c r="F8" s="2">
        <v>29</v>
      </c>
      <c r="G8" t="s">
        <v>16</v>
      </c>
      <c r="H8">
        <v>2408.81</v>
      </c>
      <c r="I8">
        <v>2624.09</v>
      </c>
      <c r="J8" t="s">
        <v>17</v>
      </c>
      <c r="K8" s="5">
        <v>0.14000000000000001</v>
      </c>
      <c r="L8" t="s">
        <v>18</v>
      </c>
      <c r="M8" t="s">
        <v>19</v>
      </c>
      <c r="N8" t="s">
        <v>23</v>
      </c>
      <c r="O8" t="str">
        <f t="shared" si="0"/>
        <v>April</v>
      </c>
      <c r="P8">
        <f t="shared" si="2"/>
        <v>4</v>
      </c>
      <c r="Q8">
        <f t="shared" si="1"/>
        <v>2023</v>
      </c>
    </row>
    <row r="9" spans="1:17" x14ac:dyDescent="0.25">
      <c r="A9">
        <v>1087</v>
      </c>
      <c r="B9" s="1">
        <v>44932</v>
      </c>
      <c r="C9" t="s">
        <v>38</v>
      </c>
      <c r="D9" t="s">
        <v>25</v>
      </c>
      <c r="E9" s="4">
        <v>7698.92</v>
      </c>
      <c r="F9" s="2">
        <v>46</v>
      </c>
      <c r="G9" t="s">
        <v>16</v>
      </c>
      <c r="H9">
        <v>3702.51</v>
      </c>
      <c r="I9">
        <v>3964.65</v>
      </c>
      <c r="J9" t="s">
        <v>30</v>
      </c>
      <c r="K9" s="5">
        <v>0.12</v>
      </c>
      <c r="L9" t="s">
        <v>27</v>
      </c>
      <c r="M9" t="s">
        <v>19</v>
      </c>
      <c r="N9" t="s">
        <v>39</v>
      </c>
      <c r="O9" t="str">
        <f t="shared" si="0"/>
        <v>January</v>
      </c>
      <c r="P9">
        <f t="shared" si="2"/>
        <v>1</v>
      </c>
      <c r="Q9">
        <f t="shared" si="1"/>
        <v>2023</v>
      </c>
    </row>
    <row r="10" spans="1:17" x14ac:dyDescent="0.25">
      <c r="A10">
        <v>1075</v>
      </c>
      <c r="B10" s="1">
        <v>45106</v>
      </c>
      <c r="C10" t="s">
        <v>24</v>
      </c>
      <c r="D10" t="s">
        <v>25</v>
      </c>
      <c r="E10" s="4">
        <v>4223.3900000000003</v>
      </c>
      <c r="F10" s="2">
        <v>30</v>
      </c>
      <c r="G10" t="s">
        <v>16</v>
      </c>
      <c r="H10">
        <v>738.06</v>
      </c>
      <c r="I10">
        <v>1095.44999999999</v>
      </c>
      <c r="J10" t="s">
        <v>30</v>
      </c>
      <c r="K10" s="5">
        <v>0.05</v>
      </c>
      <c r="L10" t="s">
        <v>27</v>
      </c>
      <c r="M10" t="s">
        <v>19</v>
      </c>
      <c r="N10" t="s">
        <v>28</v>
      </c>
      <c r="O10" t="str">
        <f t="shared" si="0"/>
        <v>June</v>
      </c>
      <c r="P10">
        <f t="shared" si="2"/>
        <v>6</v>
      </c>
      <c r="Q10">
        <f t="shared" si="1"/>
        <v>2023</v>
      </c>
    </row>
    <row r="11" spans="1:17" x14ac:dyDescent="0.25">
      <c r="A11">
        <v>1075</v>
      </c>
      <c r="B11" s="1">
        <v>45208</v>
      </c>
      <c r="C11" t="s">
        <v>33</v>
      </c>
      <c r="D11" t="s">
        <v>21</v>
      </c>
      <c r="E11" s="4">
        <v>8239.58</v>
      </c>
      <c r="F11" s="2">
        <v>18</v>
      </c>
      <c r="G11" t="s">
        <v>29</v>
      </c>
      <c r="H11">
        <v>2228.35</v>
      </c>
      <c r="I11">
        <v>2682.34</v>
      </c>
      <c r="J11" t="s">
        <v>30</v>
      </c>
      <c r="K11" s="5">
        <v>0.13</v>
      </c>
      <c r="L11" t="s">
        <v>27</v>
      </c>
      <c r="M11" t="s">
        <v>19</v>
      </c>
      <c r="N11" t="s">
        <v>37</v>
      </c>
      <c r="O11" t="str">
        <f t="shared" si="0"/>
        <v>October</v>
      </c>
      <c r="P11">
        <f t="shared" si="2"/>
        <v>10</v>
      </c>
      <c r="Q11">
        <f t="shared" si="1"/>
        <v>2023</v>
      </c>
    </row>
    <row r="12" spans="1:17" x14ac:dyDescent="0.25">
      <c r="A12">
        <v>1088</v>
      </c>
      <c r="B12" s="1">
        <v>45246</v>
      </c>
      <c r="C12" t="s">
        <v>38</v>
      </c>
      <c r="D12" t="s">
        <v>15</v>
      </c>
      <c r="E12" s="4">
        <v>8518.4500000000007</v>
      </c>
      <c r="F12" s="2">
        <v>13</v>
      </c>
      <c r="G12" t="s">
        <v>16</v>
      </c>
      <c r="H12">
        <v>2440.11</v>
      </c>
      <c r="I12">
        <v>2517.6</v>
      </c>
      <c r="J12" t="s">
        <v>30</v>
      </c>
      <c r="K12" s="5">
        <v>0.23</v>
      </c>
      <c r="L12" t="s">
        <v>27</v>
      </c>
      <c r="M12" t="s">
        <v>22</v>
      </c>
      <c r="N12" t="s">
        <v>40</v>
      </c>
      <c r="O12" t="str">
        <f t="shared" si="0"/>
        <v>November</v>
      </c>
      <c r="P12">
        <f t="shared" si="2"/>
        <v>11</v>
      </c>
      <c r="Q12">
        <f t="shared" si="1"/>
        <v>2023</v>
      </c>
    </row>
    <row r="13" spans="1:17" x14ac:dyDescent="0.25">
      <c r="A13">
        <v>1100</v>
      </c>
      <c r="B13" s="1">
        <v>45152</v>
      </c>
      <c r="C13" t="s">
        <v>14</v>
      </c>
      <c r="D13" t="s">
        <v>21</v>
      </c>
      <c r="E13" s="4">
        <v>2198.7399999999998</v>
      </c>
      <c r="F13" s="2">
        <v>43</v>
      </c>
      <c r="G13" t="s">
        <v>26</v>
      </c>
      <c r="H13">
        <v>1100.81</v>
      </c>
      <c r="I13">
        <v>1137.44</v>
      </c>
      <c r="J13" t="s">
        <v>17</v>
      </c>
      <c r="K13" s="5">
        <v>0.08</v>
      </c>
      <c r="L13" t="s">
        <v>27</v>
      </c>
      <c r="M13" t="s">
        <v>19</v>
      </c>
      <c r="N13" t="s">
        <v>23</v>
      </c>
      <c r="O13" t="str">
        <f t="shared" si="0"/>
        <v>August</v>
      </c>
      <c r="P13">
        <f t="shared" si="2"/>
        <v>8</v>
      </c>
      <c r="Q13">
        <f t="shared" si="1"/>
        <v>2023</v>
      </c>
    </row>
    <row r="14" spans="1:17" x14ac:dyDescent="0.25">
      <c r="A14">
        <v>1024</v>
      </c>
      <c r="B14" s="1">
        <v>45241</v>
      </c>
      <c r="C14" t="s">
        <v>38</v>
      </c>
      <c r="D14" t="s">
        <v>21</v>
      </c>
      <c r="E14" s="4">
        <v>6607.8</v>
      </c>
      <c r="F14" s="2">
        <v>21</v>
      </c>
      <c r="G14" t="s">
        <v>26</v>
      </c>
      <c r="H14">
        <v>622.01</v>
      </c>
      <c r="I14">
        <v>641.09</v>
      </c>
      <c r="J14" t="s">
        <v>17</v>
      </c>
      <c r="K14" s="5">
        <v>0</v>
      </c>
      <c r="L14" t="s">
        <v>27</v>
      </c>
      <c r="M14" t="s">
        <v>22</v>
      </c>
      <c r="N14" t="s">
        <v>41</v>
      </c>
      <c r="O14" t="str">
        <f t="shared" si="0"/>
        <v>November</v>
      </c>
      <c r="P14">
        <f t="shared" si="2"/>
        <v>11</v>
      </c>
      <c r="Q14">
        <f t="shared" si="1"/>
        <v>2023</v>
      </c>
    </row>
    <row r="15" spans="1:17" x14ac:dyDescent="0.25">
      <c r="A15">
        <v>1003</v>
      </c>
      <c r="B15" s="1">
        <v>45291</v>
      </c>
      <c r="C15" t="s">
        <v>42</v>
      </c>
      <c r="D15" t="s">
        <v>25</v>
      </c>
      <c r="E15" s="4">
        <v>4775.59</v>
      </c>
      <c r="F15" s="2">
        <v>30</v>
      </c>
      <c r="G15" t="s">
        <v>16</v>
      </c>
      <c r="H15">
        <v>4190.28</v>
      </c>
      <c r="I15">
        <v>4270.6499999999996</v>
      </c>
      <c r="J15" t="s">
        <v>30</v>
      </c>
      <c r="K15" s="5">
        <v>0.2</v>
      </c>
      <c r="L15" t="s">
        <v>18</v>
      </c>
      <c r="M15" t="s">
        <v>19</v>
      </c>
      <c r="N15" t="s">
        <v>43</v>
      </c>
      <c r="O15" t="str">
        <f t="shared" si="0"/>
        <v>December</v>
      </c>
      <c r="P15">
        <f t="shared" si="2"/>
        <v>12</v>
      </c>
      <c r="Q15">
        <f t="shared" si="1"/>
        <v>2023</v>
      </c>
    </row>
    <row r="16" spans="1:17" x14ac:dyDescent="0.25">
      <c r="A16">
        <v>1022</v>
      </c>
      <c r="B16" s="1">
        <v>45155</v>
      </c>
      <c r="C16" t="s">
        <v>33</v>
      </c>
      <c r="D16" t="s">
        <v>25</v>
      </c>
      <c r="E16" s="4">
        <v>8813.5499999999993</v>
      </c>
      <c r="F16" s="2">
        <v>21</v>
      </c>
      <c r="G16" t="s">
        <v>26</v>
      </c>
      <c r="H16">
        <v>2537.1999999999998</v>
      </c>
      <c r="I16">
        <v>2869.6</v>
      </c>
      <c r="J16" t="s">
        <v>30</v>
      </c>
      <c r="K16" s="5">
        <v>0.28999999999999998</v>
      </c>
      <c r="L16" t="s">
        <v>27</v>
      </c>
      <c r="M16" t="s">
        <v>22</v>
      </c>
      <c r="N16" t="s">
        <v>44</v>
      </c>
      <c r="O16" t="str">
        <f t="shared" si="0"/>
        <v>August</v>
      </c>
      <c r="P16">
        <f t="shared" si="2"/>
        <v>8</v>
      </c>
      <c r="Q16">
        <f t="shared" si="1"/>
        <v>2023</v>
      </c>
    </row>
    <row r="17" spans="1:17" x14ac:dyDescent="0.25">
      <c r="A17">
        <v>1053</v>
      </c>
      <c r="B17" s="1">
        <v>45215</v>
      </c>
      <c r="C17" t="s">
        <v>14</v>
      </c>
      <c r="D17" t="s">
        <v>15</v>
      </c>
      <c r="E17" s="4">
        <v>2235.83</v>
      </c>
      <c r="F17" s="2">
        <v>48</v>
      </c>
      <c r="G17" t="s">
        <v>16</v>
      </c>
      <c r="H17">
        <v>121.19</v>
      </c>
      <c r="I17">
        <v>487.65</v>
      </c>
      <c r="J17" t="s">
        <v>30</v>
      </c>
      <c r="K17" s="5">
        <v>0.18</v>
      </c>
      <c r="L17" t="s">
        <v>18</v>
      </c>
      <c r="M17" t="s">
        <v>22</v>
      </c>
      <c r="N17" t="s">
        <v>20</v>
      </c>
      <c r="O17" t="str">
        <f t="shared" si="0"/>
        <v>October</v>
      </c>
      <c r="P17">
        <f t="shared" si="2"/>
        <v>10</v>
      </c>
      <c r="Q17">
        <f t="shared" si="1"/>
        <v>2023</v>
      </c>
    </row>
    <row r="18" spans="1:17" x14ac:dyDescent="0.25">
      <c r="A18">
        <v>1002</v>
      </c>
      <c r="B18" s="1">
        <v>45076</v>
      </c>
      <c r="C18" t="s">
        <v>24</v>
      </c>
      <c r="D18" t="s">
        <v>15</v>
      </c>
      <c r="E18" s="4">
        <v>6810.35</v>
      </c>
      <c r="F18" s="2">
        <v>17</v>
      </c>
      <c r="G18" t="s">
        <v>16</v>
      </c>
      <c r="H18">
        <v>4024.76</v>
      </c>
      <c r="I18">
        <v>4420.1499999999996</v>
      </c>
      <c r="J18" t="s">
        <v>17</v>
      </c>
      <c r="K18" s="5">
        <v>0.04</v>
      </c>
      <c r="L18" t="s">
        <v>18</v>
      </c>
      <c r="M18" t="s">
        <v>19</v>
      </c>
      <c r="N18" t="s">
        <v>45</v>
      </c>
      <c r="O18" t="str">
        <f t="shared" si="0"/>
        <v>May</v>
      </c>
      <c r="P18">
        <f t="shared" si="2"/>
        <v>5</v>
      </c>
      <c r="Q18">
        <f t="shared" si="1"/>
        <v>2023</v>
      </c>
    </row>
    <row r="19" spans="1:17" x14ac:dyDescent="0.25">
      <c r="A19">
        <v>1088</v>
      </c>
      <c r="B19" s="1">
        <v>45203</v>
      </c>
      <c r="C19" t="s">
        <v>14</v>
      </c>
      <c r="D19" t="s">
        <v>34</v>
      </c>
      <c r="E19" s="4">
        <v>6116.75</v>
      </c>
      <c r="F19" s="2">
        <v>40</v>
      </c>
      <c r="G19" t="s">
        <v>35</v>
      </c>
      <c r="H19">
        <v>4904.93</v>
      </c>
      <c r="I19">
        <v>5034.3500000000004</v>
      </c>
      <c r="J19" t="s">
        <v>30</v>
      </c>
      <c r="K19" s="5">
        <v>0.1</v>
      </c>
      <c r="L19" t="s">
        <v>31</v>
      </c>
      <c r="M19" t="s">
        <v>22</v>
      </c>
      <c r="N19" t="s">
        <v>46</v>
      </c>
      <c r="O19" t="str">
        <f t="shared" si="0"/>
        <v>October</v>
      </c>
      <c r="P19">
        <f t="shared" si="2"/>
        <v>10</v>
      </c>
      <c r="Q19">
        <f t="shared" si="1"/>
        <v>2023</v>
      </c>
    </row>
    <row r="20" spans="1:17" x14ac:dyDescent="0.25">
      <c r="A20">
        <v>1030</v>
      </c>
      <c r="B20" s="1">
        <v>45124</v>
      </c>
      <c r="C20" t="s">
        <v>24</v>
      </c>
      <c r="D20" t="s">
        <v>21</v>
      </c>
      <c r="E20" s="4">
        <v>3023.48</v>
      </c>
      <c r="F20" s="2">
        <v>19</v>
      </c>
      <c r="G20" t="s">
        <v>29</v>
      </c>
      <c r="H20">
        <v>3049.33</v>
      </c>
      <c r="I20">
        <v>3209.22</v>
      </c>
      <c r="J20" t="s">
        <v>17</v>
      </c>
      <c r="K20" s="5">
        <v>0.26</v>
      </c>
      <c r="L20" t="s">
        <v>18</v>
      </c>
      <c r="M20" t="s">
        <v>19</v>
      </c>
      <c r="N20" t="s">
        <v>47</v>
      </c>
      <c r="O20" t="str">
        <f t="shared" si="0"/>
        <v>July</v>
      </c>
      <c r="P20">
        <f t="shared" si="2"/>
        <v>7</v>
      </c>
      <c r="Q20">
        <f t="shared" si="1"/>
        <v>2023</v>
      </c>
    </row>
    <row r="21" spans="1:17" x14ac:dyDescent="0.25">
      <c r="A21">
        <v>1038</v>
      </c>
      <c r="B21" s="1">
        <v>44996</v>
      </c>
      <c r="C21" t="s">
        <v>14</v>
      </c>
      <c r="D21" t="s">
        <v>25</v>
      </c>
      <c r="E21" s="4">
        <v>1452.35</v>
      </c>
      <c r="F21" s="2">
        <v>15</v>
      </c>
      <c r="G21" t="s">
        <v>29</v>
      </c>
      <c r="H21">
        <v>2543.36</v>
      </c>
      <c r="I21">
        <v>2790.1</v>
      </c>
      <c r="J21" t="s">
        <v>17</v>
      </c>
      <c r="K21" s="5">
        <v>7.0000000000000007E-2</v>
      </c>
      <c r="L21" t="s">
        <v>18</v>
      </c>
      <c r="M21" t="s">
        <v>19</v>
      </c>
      <c r="N21" t="s">
        <v>32</v>
      </c>
      <c r="O21" t="str">
        <f t="shared" si="0"/>
        <v>March</v>
      </c>
      <c r="P21">
        <f t="shared" si="2"/>
        <v>3</v>
      </c>
      <c r="Q21">
        <f t="shared" si="1"/>
        <v>2023</v>
      </c>
    </row>
    <row r="22" spans="1:17" x14ac:dyDescent="0.25">
      <c r="A22">
        <v>1002</v>
      </c>
      <c r="B22" s="1">
        <v>45038</v>
      </c>
      <c r="C22" t="s">
        <v>38</v>
      </c>
      <c r="D22" t="s">
        <v>15</v>
      </c>
      <c r="E22" s="4">
        <v>6551.23</v>
      </c>
      <c r="F22" s="2">
        <v>9</v>
      </c>
      <c r="G22" t="s">
        <v>35</v>
      </c>
      <c r="H22">
        <v>4398.16</v>
      </c>
      <c r="I22">
        <v>4439.12</v>
      </c>
      <c r="J22" t="s">
        <v>30</v>
      </c>
      <c r="K22" s="5">
        <v>0.18</v>
      </c>
      <c r="L22" t="s">
        <v>27</v>
      </c>
      <c r="M22" t="s">
        <v>19</v>
      </c>
      <c r="N22" t="s">
        <v>40</v>
      </c>
      <c r="O22" t="str">
        <f t="shared" si="0"/>
        <v>April</v>
      </c>
      <c r="P22">
        <f t="shared" si="2"/>
        <v>4</v>
      </c>
      <c r="Q22">
        <f t="shared" si="1"/>
        <v>2023</v>
      </c>
    </row>
    <row r="23" spans="1:17" x14ac:dyDescent="0.25">
      <c r="A23">
        <v>1064</v>
      </c>
      <c r="B23" s="1">
        <v>44930</v>
      </c>
      <c r="C23" t="s">
        <v>38</v>
      </c>
      <c r="D23" t="s">
        <v>34</v>
      </c>
      <c r="E23" s="4">
        <v>7412.11</v>
      </c>
      <c r="F23" s="2">
        <v>10</v>
      </c>
      <c r="G23" t="s">
        <v>35</v>
      </c>
      <c r="H23">
        <v>4764.96</v>
      </c>
      <c r="I23">
        <v>5074.42</v>
      </c>
      <c r="J23" t="s">
        <v>30</v>
      </c>
      <c r="K23" s="5">
        <v>0.12</v>
      </c>
      <c r="L23" t="s">
        <v>18</v>
      </c>
      <c r="M23" t="s">
        <v>19</v>
      </c>
      <c r="N23" t="s">
        <v>48</v>
      </c>
      <c r="O23" t="str">
        <f t="shared" si="0"/>
        <v>January</v>
      </c>
      <c r="P23">
        <f t="shared" si="2"/>
        <v>1</v>
      </c>
      <c r="Q23">
        <f t="shared" si="1"/>
        <v>2023</v>
      </c>
    </row>
    <row r="24" spans="1:17" x14ac:dyDescent="0.25">
      <c r="A24">
        <v>1060</v>
      </c>
      <c r="B24" s="1">
        <v>45276</v>
      </c>
      <c r="C24" t="s">
        <v>38</v>
      </c>
      <c r="D24" t="s">
        <v>34</v>
      </c>
      <c r="E24" s="4">
        <v>3224.71</v>
      </c>
      <c r="F24" s="2">
        <v>44</v>
      </c>
      <c r="G24" t="s">
        <v>29</v>
      </c>
      <c r="H24">
        <v>3784.96</v>
      </c>
      <c r="I24">
        <v>4276.99</v>
      </c>
      <c r="J24" t="s">
        <v>30</v>
      </c>
      <c r="K24" s="5">
        <v>0.06</v>
      </c>
      <c r="L24" t="s">
        <v>27</v>
      </c>
      <c r="M24" t="s">
        <v>22</v>
      </c>
      <c r="N24" t="s">
        <v>48</v>
      </c>
      <c r="O24" t="str">
        <f t="shared" si="0"/>
        <v>December</v>
      </c>
      <c r="P24">
        <f t="shared" si="2"/>
        <v>12</v>
      </c>
      <c r="Q24">
        <f t="shared" si="1"/>
        <v>2023</v>
      </c>
    </row>
    <row r="25" spans="1:17" x14ac:dyDescent="0.25">
      <c r="A25">
        <v>1021</v>
      </c>
      <c r="B25" s="1">
        <v>45257</v>
      </c>
      <c r="C25" t="s">
        <v>42</v>
      </c>
      <c r="D25" t="s">
        <v>25</v>
      </c>
      <c r="E25" s="4">
        <v>6483.84</v>
      </c>
      <c r="F25" s="2">
        <v>31</v>
      </c>
      <c r="G25" t="s">
        <v>16</v>
      </c>
      <c r="H25">
        <v>2254.9899999999998</v>
      </c>
      <c r="I25">
        <v>2441.79</v>
      </c>
      <c r="J25" t="s">
        <v>17</v>
      </c>
      <c r="K25" s="5">
        <v>0.24</v>
      </c>
      <c r="L25" t="s">
        <v>27</v>
      </c>
      <c r="M25" t="s">
        <v>19</v>
      </c>
      <c r="N25" t="s">
        <v>43</v>
      </c>
      <c r="O25" t="str">
        <f t="shared" si="0"/>
        <v>November</v>
      </c>
      <c r="P25">
        <f t="shared" si="2"/>
        <v>11</v>
      </c>
      <c r="Q25">
        <f t="shared" si="1"/>
        <v>2023</v>
      </c>
    </row>
    <row r="26" spans="1:17" x14ac:dyDescent="0.25">
      <c r="A26">
        <v>1033</v>
      </c>
      <c r="B26" s="1">
        <v>45244</v>
      </c>
      <c r="C26" t="s">
        <v>24</v>
      </c>
      <c r="D26" t="s">
        <v>25</v>
      </c>
      <c r="E26" s="4">
        <v>4011.8</v>
      </c>
      <c r="F26" s="2">
        <v>23</v>
      </c>
      <c r="G26" t="s">
        <v>16</v>
      </c>
      <c r="H26">
        <v>2981.5</v>
      </c>
      <c r="I26">
        <v>3360.4</v>
      </c>
      <c r="J26" t="s">
        <v>17</v>
      </c>
      <c r="K26" s="5">
        <v>0.22</v>
      </c>
      <c r="L26" t="s">
        <v>27</v>
      </c>
      <c r="M26" t="s">
        <v>22</v>
      </c>
      <c r="N26" t="s">
        <v>28</v>
      </c>
      <c r="O26" t="str">
        <f t="shared" si="0"/>
        <v>November</v>
      </c>
      <c r="P26">
        <f t="shared" si="2"/>
        <v>11</v>
      </c>
      <c r="Q26">
        <f t="shared" si="1"/>
        <v>2023</v>
      </c>
    </row>
    <row r="27" spans="1:17" x14ac:dyDescent="0.25">
      <c r="A27">
        <v>1076</v>
      </c>
      <c r="B27" s="1">
        <v>45276</v>
      </c>
      <c r="C27" t="s">
        <v>38</v>
      </c>
      <c r="D27" t="s">
        <v>34</v>
      </c>
      <c r="E27" s="4">
        <v>7160.75</v>
      </c>
      <c r="F27" s="2">
        <v>30</v>
      </c>
      <c r="G27" t="s">
        <v>29</v>
      </c>
      <c r="H27">
        <v>3519.63</v>
      </c>
      <c r="I27">
        <v>3774.65</v>
      </c>
      <c r="J27" t="s">
        <v>30</v>
      </c>
      <c r="K27" s="5">
        <v>0.2</v>
      </c>
      <c r="L27" t="s">
        <v>31</v>
      </c>
      <c r="M27" t="s">
        <v>22</v>
      </c>
      <c r="N27" t="s">
        <v>48</v>
      </c>
      <c r="O27" t="str">
        <f t="shared" si="0"/>
        <v>December</v>
      </c>
      <c r="P27">
        <f t="shared" si="2"/>
        <v>12</v>
      </c>
      <c r="Q27">
        <f t="shared" si="1"/>
        <v>2023</v>
      </c>
    </row>
    <row r="28" spans="1:17" x14ac:dyDescent="0.25">
      <c r="A28">
        <v>1058</v>
      </c>
      <c r="B28" s="1">
        <v>45021</v>
      </c>
      <c r="C28" t="s">
        <v>42</v>
      </c>
      <c r="D28" t="s">
        <v>15</v>
      </c>
      <c r="E28" s="4">
        <v>2072.23</v>
      </c>
      <c r="F28" s="2">
        <v>33</v>
      </c>
      <c r="G28" t="s">
        <v>16</v>
      </c>
      <c r="H28">
        <v>1011.65</v>
      </c>
      <c r="I28">
        <v>1084.28</v>
      </c>
      <c r="J28" t="s">
        <v>17</v>
      </c>
      <c r="K28" s="5">
        <v>7.0000000000000007E-2</v>
      </c>
      <c r="L28" t="s">
        <v>27</v>
      </c>
      <c r="M28" t="s">
        <v>22</v>
      </c>
      <c r="N28" t="s">
        <v>49</v>
      </c>
      <c r="O28" t="str">
        <f t="shared" si="0"/>
        <v>April</v>
      </c>
      <c r="P28">
        <f t="shared" si="2"/>
        <v>4</v>
      </c>
      <c r="Q28">
        <f t="shared" si="1"/>
        <v>2023</v>
      </c>
    </row>
    <row r="29" spans="1:17" x14ac:dyDescent="0.25">
      <c r="A29">
        <v>1022</v>
      </c>
      <c r="B29" s="1">
        <v>45078</v>
      </c>
      <c r="C29" t="s">
        <v>24</v>
      </c>
      <c r="D29" t="s">
        <v>34</v>
      </c>
      <c r="E29" s="4">
        <v>8913.1299999999992</v>
      </c>
      <c r="F29" s="2">
        <v>9</v>
      </c>
      <c r="G29" t="s">
        <v>35</v>
      </c>
      <c r="H29">
        <v>2263.65</v>
      </c>
      <c r="I29">
        <v>2558.9499999999998</v>
      </c>
      <c r="J29" t="s">
        <v>30</v>
      </c>
      <c r="K29" s="5">
        <v>0.03</v>
      </c>
      <c r="L29" t="s">
        <v>18</v>
      </c>
      <c r="M29" t="s">
        <v>19</v>
      </c>
      <c r="N29" t="s">
        <v>50</v>
      </c>
      <c r="O29" t="str">
        <f t="shared" si="0"/>
        <v>June</v>
      </c>
      <c r="P29">
        <f t="shared" si="2"/>
        <v>6</v>
      </c>
      <c r="Q29">
        <f t="shared" si="1"/>
        <v>2023</v>
      </c>
    </row>
    <row r="30" spans="1:17" x14ac:dyDescent="0.25">
      <c r="A30">
        <v>1089</v>
      </c>
      <c r="B30" s="1">
        <v>45237</v>
      </c>
      <c r="C30" t="s">
        <v>14</v>
      </c>
      <c r="D30" t="s">
        <v>21</v>
      </c>
      <c r="E30" s="4">
        <v>2945.36</v>
      </c>
      <c r="F30" s="2">
        <v>47</v>
      </c>
      <c r="G30" t="s">
        <v>16</v>
      </c>
      <c r="H30">
        <v>4157.62</v>
      </c>
      <c r="I30">
        <v>4314.5599999999904</v>
      </c>
      <c r="J30" t="s">
        <v>30</v>
      </c>
      <c r="K30" s="5">
        <v>0.17</v>
      </c>
      <c r="L30" t="s">
        <v>27</v>
      </c>
      <c r="M30" t="s">
        <v>22</v>
      </c>
      <c r="N30" t="s">
        <v>23</v>
      </c>
      <c r="O30" t="str">
        <f t="shared" si="0"/>
        <v>November</v>
      </c>
      <c r="P30">
        <f t="shared" si="2"/>
        <v>11</v>
      </c>
      <c r="Q30">
        <f t="shared" si="1"/>
        <v>2023</v>
      </c>
    </row>
    <row r="31" spans="1:17" x14ac:dyDescent="0.25">
      <c r="A31">
        <v>1049</v>
      </c>
      <c r="B31" s="1">
        <v>45063</v>
      </c>
      <c r="C31" t="s">
        <v>42</v>
      </c>
      <c r="D31" t="s">
        <v>21</v>
      </c>
      <c r="E31" s="4">
        <v>3741.08</v>
      </c>
      <c r="F31" s="2">
        <v>1</v>
      </c>
      <c r="G31" t="s">
        <v>16</v>
      </c>
      <c r="H31">
        <v>3290.89</v>
      </c>
      <c r="I31">
        <v>3317.75</v>
      </c>
      <c r="J31" t="s">
        <v>17</v>
      </c>
      <c r="K31" s="5">
        <v>0.17</v>
      </c>
      <c r="L31" t="s">
        <v>27</v>
      </c>
      <c r="M31" t="s">
        <v>19</v>
      </c>
      <c r="N31" t="s">
        <v>51</v>
      </c>
      <c r="O31" t="str">
        <f t="shared" si="0"/>
        <v>May</v>
      </c>
      <c r="P31">
        <f t="shared" si="2"/>
        <v>5</v>
      </c>
      <c r="Q31">
        <f t="shared" si="1"/>
        <v>2023</v>
      </c>
    </row>
    <row r="32" spans="1:17" x14ac:dyDescent="0.25">
      <c r="A32">
        <v>1091</v>
      </c>
      <c r="B32" s="1">
        <v>45173</v>
      </c>
      <c r="C32" t="s">
        <v>33</v>
      </c>
      <c r="D32" t="s">
        <v>25</v>
      </c>
      <c r="E32" s="4">
        <v>675.11</v>
      </c>
      <c r="F32" s="2">
        <v>44</v>
      </c>
      <c r="G32" t="s">
        <v>26</v>
      </c>
      <c r="H32">
        <v>2085.46</v>
      </c>
      <c r="I32">
        <v>2406.58</v>
      </c>
      <c r="J32" t="s">
        <v>17</v>
      </c>
      <c r="K32" s="5">
        <v>0.06</v>
      </c>
      <c r="L32" t="s">
        <v>27</v>
      </c>
      <c r="M32" t="s">
        <v>22</v>
      </c>
      <c r="N32" t="s">
        <v>44</v>
      </c>
      <c r="O32" t="str">
        <f t="shared" si="0"/>
        <v>September</v>
      </c>
      <c r="P32">
        <f t="shared" si="2"/>
        <v>9</v>
      </c>
      <c r="Q32">
        <f t="shared" si="1"/>
        <v>2023</v>
      </c>
    </row>
    <row r="33" spans="1:17" x14ac:dyDescent="0.25">
      <c r="A33">
        <v>1059</v>
      </c>
      <c r="B33" s="1">
        <v>45169</v>
      </c>
      <c r="C33" t="s">
        <v>42</v>
      </c>
      <c r="D33" t="s">
        <v>15</v>
      </c>
      <c r="E33" s="4">
        <v>1203.97</v>
      </c>
      <c r="F33" s="2">
        <v>35</v>
      </c>
      <c r="G33" t="s">
        <v>26</v>
      </c>
      <c r="H33">
        <v>3333.64</v>
      </c>
      <c r="I33">
        <v>3764.52</v>
      </c>
      <c r="J33" t="s">
        <v>17</v>
      </c>
      <c r="K33" s="5">
        <v>0.02</v>
      </c>
      <c r="L33" t="s">
        <v>31</v>
      </c>
      <c r="M33" t="s">
        <v>19</v>
      </c>
      <c r="N33" t="s">
        <v>49</v>
      </c>
      <c r="O33" t="str">
        <f t="shared" si="0"/>
        <v>August</v>
      </c>
      <c r="P33">
        <f t="shared" si="2"/>
        <v>8</v>
      </c>
      <c r="Q33">
        <f t="shared" si="1"/>
        <v>2023</v>
      </c>
    </row>
    <row r="34" spans="1:17" x14ac:dyDescent="0.25">
      <c r="A34">
        <v>1042</v>
      </c>
      <c r="B34" s="1">
        <v>44957</v>
      </c>
      <c r="C34" t="s">
        <v>42</v>
      </c>
      <c r="D34" t="s">
        <v>15</v>
      </c>
      <c r="E34" s="4">
        <v>5207.03</v>
      </c>
      <c r="F34" s="2">
        <v>11</v>
      </c>
      <c r="G34" t="s">
        <v>26</v>
      </c>
      <c r="H34">
        <v>635.20000000000005</v>
      </c>
      <c r="I34">
        <v>814.14</v>
      </c>
      <c r="J34" t="s">
        <v>17</v>
      </c>
      <c r="K34" s="5">
        <v>0.02</v>
      </c>
      <c r="L34" t="s">
        <v>18</v>
      </c>
      <c r="M34" t="s">
        <v>19</v>
      </c>
      <c r="N34" t="s">
        <v>49</v>
      </c>
      <c r="O34" t="str">
        <f t="shared" si="0"/>
        <v>January</v>
      </c>
      <c r="P34">
        <f t="shared" si="2"/>
        <v>1</v>
      </c>
      <c r="Q34">
        <f t="shared" si="1"/>
        <v>2023</v>
      </c>
    </row>
    <row r="35" spans="1:17" x14ac:dyDescent="0.25">
      <c r="A35">
        <v>1092</v>
      </c>
      <c r="B35" s="1">
        <v>44966</v>
      </c>
      <c r="C35" t="s">
        <v>24</v>
      </c>
      <c r="D35" t="s">
        <v>21</v>
      </c>
      <c r="E35" s="4">
        <v>2749.17</v>
      </c>
      <c r="F35" s="2">
        <v>34</v>
      </c>
      <c r="G35" t="s">
        <v>16</v>
      </c>
      <c r="H35">
        <v>2037.41</v>
      </c>
      <c r="I35">
        <v>2238.65</v>
      </c>
      <c r="J35" t="s">
        <v>30</v>
      </c>
      <c r="K35" s="5">
        <v>0.3</v>
      </c>
      <c r="L35" t="s">
        <v>31</v>
      </c>
      <c r="M35" t="s">
        <v>19</v>
      </c>
      <c r="N35" t="s">
        <v>47</v>
      </c>
      <c r="O35" t="str">
        <f t="shared" si="0"/>
        <v>February</v>
      </c>
      <c r="P35">
        <f t="shared" si="2"/>
        <v>2</v>
      </c>
      <c r="Q35">
        <f t="shared" si="1"/>
        <v>2023</v>
      </c>
    </row>
    <row r="36" spans="1:17" x14ac:dyDescent="0.25">
      <c r="A36">
        <v>1060</v>
      </c>
      <c r="B36" s="1">
        <v>45155</v>
      </c>
      <c r="C36" t="s">
        <v>14</v>
      </c>
      <c r="D36" t="s">
        <v>34</v>
      </c>
      <c r="E36" s="4">
        <v>8371.25</v>
      </c>
      <c r="F36" s="2">
        <v>16</v>
      </c>
      <c r="G36" t="s">
        <v>29</v>
      </c>
      <c r="H36">
        <v>3975.99</v>
      </c>
      <c r="I36">
        <v>4422.59</v>
      </c>
      <c r="J36" t="s">
        <v>30</v>
      </c>
      <c r="K36" s="5">
        <v>0.24</v>
      </c>
      <c r="L36" t="s">
        <v>18</v>
      </c>
      <c r="M36" t="s">
        <v>19</v>
      </c>
      <c r="N36" t="s">
        <v>46</v>
      </c>
      <c r="O36" t="str">
        <f t="shared" si="0"/>
        <v>August</v>
      </c>
      <c r="P36">
        <f t="shared" si="2"/>
        <v>8</v>
      </c>
      <c r="Q36">
        <f t="shared" si="1"/>
        <v>2023</v>
      </c>
    </row>
    <row r="37" spans="1:17" x14ac:dyDescent="0.25">
      <c r="A37">
        <v>1080</v>
      </c>
      <c r="B37" s="1">
        <v>44962</v>
      </c>
      <c r="C37" t="s">
        <v>33</v>
      </c>
      <c r="D37" t="s">
        <v>25</v>
      </c>
      <c r="E37" s="4">
        <v>245.46</v>
      </c>
      <c r="F37" s="2">
        <v>9</v>
      </c>
      <c r="G37" t="s">
        <v>35</v>
      </c>
      <c r="H37">
        <v>1141.52</v>
      </c>
      <c r="I37">
        <v>1550.19</v>
      </c>
      <c r="J37" t="s">
        <v>30</v>
      </c>
      <c r="K37" s="5">
        <v>0.28000000000000003</v>
      </c>
      <c r="L37" t="s">
        <v>31</v>
      </c>
      <c r="M37" t="s">
        <v>22</v>
      </c>
      <c r="N37" t="s">
        <v>44</v>
      </c>
      <c r="O37" t="str">
        <f t="shared" si="0"/>
        <v>February</v>
      </c>
      <c r="P37">
        <f t="shared" si="2"/>
        <v>2</v>
      </c>
      <c r="Q37">
        <f t="shared" si="1"/>
        <v>2023</v>
      </c>
    </row>
    <row r="38" spans="1:17" x14ac:dyDescent="0.25">
      <c r="A38">
        <v>1015</v>
      </c>
      <c r="B38" s="1">
        <v>45149</v>
      </c>
      <c r="C38" t="s">
        <v>38</v>
      </c>
      <c r="D38" t="s">
        <v>34</v>
      </c>
      <c r="E38" s="4">
        <v>3853.03</v>
      </c>
      <c r="F38" s="2">
        <v>32</v>
      </c>
      <c r="G38" t="s">
        <v>16</v>
      </c>
      <c r="H38">
        <v>970.51</v>
      </c>
      <c r="I38">
        <v>1330.84</v>
      </c>
      <c r="J38" t="s">
        <v>17</v>
      </c>
      <c r="K38" s="5">
        <v>0.06</v>
      </c>
      <c r="L38" t="s">
        <v>18</v>
      </c>
      <c r="M38" t="s">
        <v>22</v>
      </c>
      <c r="N38" t="s">
        <v>48</v>
      </c>
      <c r="O38" t="str">
        <f t="shared" si="0"/>
        <v>August</v>
      </c>
      <c r="P38">
        <f t="shared" si="2"/>
        <v>8</v>
      </c>
      <c r="Q38">
        <f t="shared" si="1"/>
        <v>2023</v>
      </c>
    </row>
    <row r="39" spans="1:17" x14ac:dyDescent="0.25">
      <c r="A39">
        <v>1062</v>
      </c>
      <c r="B39" s="1">
        <v>44932</v>
      </c>
      <c r="C39" t="s">
        <v>38</v>
      </c>
      <c r="D39" t="s">
        <v>34</v>
      </c>
      <c r="E39" s="4">
        <v>3439.72</v>
      </c>
      <c r="F39" s="2">
        <v>15</v>
      </c>
      <c r="G39" t="s">
        <v>29</v>
      </c>
      <c r="H39">
        <v>4756.55</v>
      </c>
      <c r="I39">
        <v>4888.46</v>
      </c>
      <c r="J39" t="s">
        <v>30</v>
      </c>
      <c r="K39" s="5">
        <v>0.28999999999999998</v>
      </c>
      <c r="L39" t="s">
        <v>31</v>
      </c>
      <c r="M39" t="s">
        <v>19</v>
      </c>
      <c r="N39" t="s">
        <v>48</v>
      </c>
      <c r="O39" t="str">
        <f t="shared" si="0"/>
        <v>January</v>
      </c>
      <c r="P39">
        <f t="shared" si="2"/>
        <v>1</v>
      </c>
      <c r="Q39">
        <f t="shared" si="1"/>
        <v>2023</v>
      </c>
    </row>
    <row r="40" spans="1:17" x14ac:dyDescent="0.25">
      <c r="A40">
        <v>1062</v>
      </c>
      <c r="B40" s="1">
        <v>45248</v>
      </c>
      <c r="C40" t="s">
        <v>42</v>
      </c>
      <c r="D40" t="s">
        <v>34</v>
      </c>
      <c r="E40" s="4">
        <v>291.33999999999997</v>
      </c>
      <c r="F40" s="2">
        <v>12</v>
      </c>
      <c r="G40" t="s">
        <v>16</v>
      </c>
      <c r="H40">
        <v>1088.99</v>
      </c>
      <c r="I40">
        <v>1545</v>
      </c>
      <c r="J40" t="s">
        <v>17</v>
      </c>
      <c r="K40" s="5">
        <v>0.04</v>
      </c>
      <c r="L40" t="s">
        <v>27</v>
      </c>
      <c r="M40" t="s">
        <v>22</v>
      </c>
      <c r="N40" t="s">
        <v>52</v>
      </c>
      <c r="O40" t="str">
        <f t="shared" si="0"/>
        <v>November</v>
      </c>
      <c r="P40">
        <f t="shared" si="2"/>
        <v>11</v>
      </c>
      <c r="Q40">
        <f t="shared" si="1"/>
        <v>2023</v>
      </c>
    </row>
    <row r="41" spans="1:17" x14ac:dyDescent="0.25">
      <c r="A41">
        <v>1047</v>
      </c>
      <c r="B41" s="1">
        <v>45146</v>
      </c>
      <c r="C41" t="s">
        <v>24</v>
      </c>
      <c r="D41" t="s">
        <v>15</v>
      </c>
      <c r="E41" s="4">
        <v>1331.25</v>
      </c>
      <c r="F41" s="2">
        <v>33</v>
      </c>
      <c r="G41" t="s">
        <v>35</v>
      </c>
      <c r="H41">
        <v>1341.55</v>
      </c>
      <c r="I41">
        <v>1427.21</v>
      </c>
      <c r="J41" t="s">
        <v>17</v>
      </c>
      <c r="K41" s="5">
        <v>0.15</v>
      </c>
      <c r="L41" t="s">
        <v>31</v>
      </c>
      <c r="M41" t="s">
        <v>19</v>
      </c>
      <c r="N41" t="s">
        <v>45</v>
      </c>
      <c r="O41" t="str">
        <f t="shared" si="0"/>
        <v>August</v>
      </c>
      <c r="P41">
        <f t="shared" si="2"/>
        <v>8</v>
      </c>
      <c r="Q41">
        <f t="shared" si="1"/>
        <v>2023</v>
      </c>
    </row>
    <row r="42" spans="1:17" x14ac:dyDescent="0.25">
      <c r="A42">
        <v>1062</v>
      </c>
      <c r="B42" s="1">
        <v>45001</v>
      </c>
      <c r="C42" t="s">
        <v>24</v>
      </c>
      <c r="D42" t="s">
        <v>21</v>
      </c>
      <c r="E42" s="4">
        <v>4195.0600000000004</v>
      </c>
      <c r="F42" s="2">
        <v>45</v>
      </c>
      <c r="G42" t="s">
        <v>16</v>
      </c>
      <c r="H42">
        <v>4849.6000000000004</v>
      </c>
      <c r="I42">
        <v>5166.72</v>
      </c>
      <c r="J42" t="s">
        <v>17</v>
      </c>
      <c r="K42" s="5">
        <v>0.25</v>
      </c>
      <c r="L42" t="s">
        <v>31</v>
      </c>
      <c r="M42" t="s">
        <v>19</v>
      </c>
      <c r="N42" t="s">
        <v>47</v>
      </c>
      <c r="O42" t="str">
        <f t="shared" si="0"/>
        <v>March</v>
      </c>
      <c r="P42">
        <f t="shared" si="2"/>
        <v>3</v>
      </c>
      <c r="Q42">
        <f t="shared" si="1"/>
        <v>2023</v>
      </c>
    </row>
    <row r="43" spans="1:17" x14ac:dyDescent="0.25">
      <c r="A43">
        <v>1051</v>
      </c>
      <c r="B43" s="1">
        <v>44930</v>
      </c>
      <c r="C43" t="s">
        <v>38</v>
      </c>
      <c r="D43" t="s">
        <v>15</v>
      </c>
      <c r="E43" s="4">
        <v>4979.3599999999997</v>
      </c>
      <c r="F43" s="2">
        <v>14</v>
      </c>
      <c r="G43" t="s">
        <v>35</v>
      </c>
      <c r="H43">
        <v>3686.81</v>
      </c>
      <c r="I43">
        <v>3710.92</v>
      </c>
      <c r="J43" t="s">
        <v>30</v>
      </c>
      <c r="K43" s="5">
        <v>0.1</v>
      </c>
      <c r="L43" t="s">
        <v>27</v>
      </c>
      <c r="M43" t="s">
        <v>22</v>
      </c>
      <c r="N43" t="s">
        <v>40</v>
      </c>
      <c r="O43" t="str">
        <f t="shared" si="0"/>
        <v>January</v>
      </c>
      <c r="P43">
        <f t="shared" si="2"/>
        <v>1</v>
      </c>
      <c r="Q43">
        <f t="shared" si="1"/>
        <v>2023</v>
      </c>
    </row>
    <row r="44" spans="1:17" x14ac:dyDescent="0.25">
      <c r="A44">
        <v>1055</v>
      </c>
      <c r="B44" s="1">
        <v>45261</v>
      </c>
      <c r="C44" t="s">
        <v>33</v>
      </c>
      <c r="D44" t="s">
        <v>21</v>
      </c>
      <c r="E44" s="4">
        <v>4102.47</v>
      </c>
      <c r="F44" s="2">
        <v>8</v>
      </c>
      <c r="G44" t="s">
        <v>16</v>
      </c>
      <c r="H44">
        <v>3513</v>
      </c>
      <c r="I44">
        <v>3838.42</v>
      </c>
      <c r="J44" t="s">
        <v>17</v>
      </c>
      <c r="K44" s="5">
        <v>0.13</v>
      </c>
      <c r="L44" t="s">
        <v>27</v>
      </c>
      <c r="M44" t="s">
        <v>19</v>
      </c>
      <c r="N44" t="s">
        <v>37</v>
      </c>
      <c r="O44" t="str">
        <f t="shared" si="0"/>
        <v>December</v>
      </c>
      <c r="P44">
        <f t="shared" si="2"/>
        <v>12</v>
      </c>
      <c r="Q44">
        <f t="shared" si="1"/>
        <v>2023</v>
      </c>
    </row>
    <row r="45" spans="1:17" x14ac:dyDescent="0.25">
      <c r="A45">
        <v>1064</v>
      </c>
      <c r="B45" s="1">
        <v>45060</v>
      </c>
      <c r="C45" t="s">
        <v>14</v>
      </c>
      <c r="D45" t="s">
        <v>25</v>
      </c>
      <c r="E45" s="4">
        <v>5356.28</v>
      </c>
      <c r="F45" s="2">
        <v>8</v>
      </c>
      <c r="G45" t="s">
        <v>35</v>
      </c>
      <c r="H45">
        <v>4271.99</v>
      </c>
      <c r="I45">
        <v>4417.79</v>
      </c>
      <c r="J45" t="s">
        <v>17</v>
      </c>
      <c r="K45" s="5">
        <v>0.04</v>
      </c>
      <c r="L45" t="s">
        <v>18</v>
      </c>
      <c r="M45" t="s">
        <v>19</v>
      </c>
      <c r="N45" t="s">
        <v>32</v>
      </c>
      <c r="O45" t="str">
        <f t="shared" si="0"/>
        <v>May</v>
      </c>
      <c r="P45">
        <f t="shared" si="2"/>
        <v>5</v>
      </c>
      <c r="Q45">
        <f t="shared" si="1"/>
        <v>2023</v>
      </c>
    </row>
    <row r="46" spans="1:17" x14ac:dyDescent="0.25">
      <c r="A46">
        <v>1003</v>
      </c>
      <c r="B46" s="1">
        <v>45044</v>
      </c>
      <c r="C46" t="s">
        <v>33</v>
      </c>
      <c r="D46" t="s">
        <v>25</v>
      </c>
      <c r="E46" s="4">
        <v>5991.8</v>
      </c>
      <c r="F46" s="2">
        <v>27</v>
      </c>
      <c r="G46" t="s">
        <v>16</v>
      </c>
      <c r="H46">
        <v>623.32000000000005</v>
      </c>
      <c r="I46">
        <v>853.66</v>
      </c>
      <c r="J46" t="s">
        <v>17</v>
      </c>
      <c r="K46" s="5">
        <v>0.04</v>
      </c>
      <c r="L46" t="s">
        <v>18</v>
      </c>
      <c r="M46" t="s">
        <v>19</v>
      </c>
      <c r="N46" t="s">
        <v>44</v>
      </c>
      <c r="O46" t="str">
        <f t="shared" si="0"/>
        <v>April</v>
      </c>
      <c r="P46">
        <f t="shared" si="2"/>
        <v>4</v>
      </c>
      <c r="Q46">
        <f t="shared" si="1"/>
        <v>2023</v>
      </c>
    </row>
    <row r="47" spans="1:17" x14ac:dyDescent="0.25">
      <c r="A47">
        <v>1051</v>
      </c>
      <c r="B47" s="1">
        <v>45020</v>
      </c>
      <c r="C47" t="s">
        <v>14</v>
      </c>
      <c r="D47" t="s">
        <v>34</v>
      </c>
      <c r="E47" s="4">
        <v>198.25</v>
      </c>
      <c r="F47" s="2">
        <v>12</v>
      </c>
      <c r="G47" t="s">
        <v>35</v>
      </c>
      <c r="H47">
        <v>3544.48</v>
      </c>
      <c r="I47">
        <v>3723.66</v>
      </c>
      <c r="J47" t="s">
        <v>17</v>
      </c>
      <c r="K47" s="5">
        <v>0.19</v>
      </c>
      <c r="L47" t="s">
        <v>18</v>
      </c>
      <c r="M47" t="s">
        <v>19</v>
      </c>
      <c r="N47" t="s">
        <v>46</v>
      </c>
      <c r="O47" t="str">
        <f t="shared" si="0"/>
        <v>April</v>
      </c>
      <c r="P47">
        <f t="shared" si="2"/>
        <v>4</v>
      </c>
      <c r="Q47">
        <f t="shared" si="1"/>
        <v>2023</v>
      </c>
    </row>
    <row r="48" spans="1:17" x14ac:dyDescent="0.25">
      <c r="A48">
        <v>1007</v>
      </c>
      <c r="B48" s="1">
        <v>44988</v>
      </c>
      <c r="C48" t="s">
        <v>38</v>
      </c>
      <c r="D48" t="s">
        <v>21</v>
      </c>
      <c r="E48" s="4">
        <v>4694.54</v>
      </c>
      <c r="F48" s="2">
        <v>1</v>
      </c>
      <c r="G48" t="s">
        <v>26</v>
      </c>
      <c r="H48">
        <v>2543.2600000000002</v>
      </c>
      <c r="I48">
        <v>2637.91</v>
      </c>
      <c r="J48" t="s">
        <v>17</v>
      </c>
      <c r="K48" s="5">
        <v>0.2</v>
      </c>
      <c r="L48" t="s">
        <v>31</v>
      </c>
      <c r="M48" t="s">
        <v>19</v>
      </c>
      <c r="N48" t="s">
        <v>41</v>
      </c>
      <c r="O48" t="str">
        <f t="shared" si="0"/>
        <v>March</v>
      </c>
      <c r="P48">
        <f t="shared" si="2"/>
        <v>3</v>
      </c>
      <c r="Q48">
        <f t="shared" si="1"/>
        <v>2023</v>
      </c>
    </row>
    <row r="49" spans="1:17" x14ac:dyDescent="0.25">
      <c r="A49">
        <v>1021</v>
      </c>
      <c r="B49" s="1">
        <v>45120</v>
      </c>
      <c r="C49" t="s">
        <v>14</v>
      </c>
      <c r="D49" t="s">
        <v>21</v>
      </c>
      <c r="E49" s="4">
        <v>9638.64</v>
      </c>
      <c r="F49" s="2">
        <v>43</v>
      </c>
      <c r="G49" t="s">
        <v>16</v>
      </c>
      <c r="H49">
        <v>4154.3</v>
      </c>
      <c r="I49">
        <v>4469.07</v>
      </c>
      <c r="J49" t="s">
        <v>17</v>
      </c>
      <c r="K49" s="5">
        <v>0.23</v>
      </c>
      <c r="L49" t="s">
        <v>18</v>
      </c>
      <c r="M49" t="s">
        <v>22</v>
      </c>
      <c r="N49" t="s">
        <v>23</v>
      </c>
      <c r="O49" t="str">
        <f t="shared" si="0"/>
        <v>July</v>
      </c>
      <c r="P49">
        <f t="shared" si="2"/>
        <v>7</v>
      </c>
      <c r="Q49">
        <f t="shared" si="1"/>
        <v>2023</v>
      </c>
    </row>
    <row r="50" spans="1:17" x14ac:dyDescent="0.25">
      <c r="A50">
        <v>1073</v>
      </c>
      <c r="B50" s="1">
        <v>45261</v>
      </c>
      <c r="C50" t="s">
        <v>24</v>
      </c>
      <c r="D50" t="s">
        <v>21</v>
      </c>
      <c r="E50" s="4">
        <v>5238.42</v>
      </c>
      <c r="F50" s="2">
        <v>40</v>
      </c>
      <c r="G50" t="s">
        <v>16</v>
      </c>
      <c r="H50">
        <v>2565.3000000000002</v>
      </c>
      <c r="I50">
        <v>3007.47</v>
      </c>
      <c r="J50" t="s">
        <v>17</v>
      </c>
      <c r="K50" s="5">
        <v>0.17</v>
      </c>
      <c r="L50" t="s">
        <v>31</v>
      </c>
      <c r="M50" t="s">
        <v>22</v>
      </c>
      <c r="N50" t="s">
        <v>47</v>
      </c>
      <c r="O50" t="str">
        <f t="shared" si="0"/>
        <v>December</v>
      </c>
      <c r="P50">
        <f t="shared" si="2"/>
        <v>12</v>
      </c>
      <c r="Q50">
        <f t="shared" si="1"/>
        <v>2023</v>
      </c>
    </row>
    <row r="51" spans="1:17" x14ac:dyDescent="0.25">
      <c r="A51">
        <v>1039</v>
      </c>
      <c r="B51" s="1">
        <v>45129</v>
      </c>
      <c r="C51" t="s">
        <v>42</v>
      </c>
      <c r="D51" t="s">
        <v>34</v>
      </c>
      <c r="E51" s="4">
        <v>6807.67</v>
      </c>
      <c r="F51" s="2">
        <v>42</v>
      </c>
      <c r="G51" t="s">
        <v>29</v>
      </c>
      <c r="H51">
        <v>3120.19</v>
      </c>
      <c r="I51">
        <v>3600.14</v>
      </c>
      <c r="J51" t="s">
        <v>17</v>
      </c>
      <c r="K51" s="5">
        <v>0.19</v>
      </c>
      <c r="L51" t="s">
        <v>31</v>
      </c>
      <c r="M51" t="s">
        <v>22</v>
      </c>
      <c r="N51" t="s">
        <v>52</v>
      </c>
      <c r="O51" t="str">
        <f t="shared" si="0"/>
        <v>July</v>
      </c>
      <c r="P51">
        <f t="shared" si="2"/>
        <v>7</v>
      </c>
      <c r="Q51">
        <f t="shared" si="1"/>
        <v>2023</v>
      </c>
    </row>
    <row r="52" spans="1:17" x14ac:dyDescent="0.25">
      <c r="A52">
        <v>1018</v>
      </c>
      <c r="B52" s="1">
        <v>44952</v>
      </c>
      <c r="C52" t="s">
        <v>42</v>
      </c>
      <c r="D52" t="s">
        <v>34</v>
      </c>
      <c r="E52" s="4">
        <v>3187.45</v>
      </c>
      <c r="F52" s="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 s="5">
        <v>0</v>
      </c>
      <c r="L52" t="s">
        <v>18</v>
      </c>
      <c r="M52" t="s">
        <v>19</v>
      </c>
      <c r="N52" t="s">
        <v>52</v>
      </c>
      <c r="O52" t="str">
        <f t="shared" si="0"/>
        <v>January</v>
      </c>
      <c r="P52">
        <f t="shared" si="2"/>
        <v>1</v>
      </c>
      <c r="Q52">
        <f t="shared" si="1"/>
        <v>2023</v>
      </c>
    </row>
    <row r="53" spans="1:17" x14ac:dyDescent="0.25">
      <c r="A53">
        <v>1004</v>
      </c>
      <c r="B53" s="1">
        <v>45099</v>
      </c>
      <c r="C53" t="s">
        <v>38</v>
      </c>
      <c r="D53" t="s">
        <v>25</v>
      </c>
      <c r="E53" s="4">
        <v>7762.51</v>
      </c>
      <c r="F53" s="2">
        <v>39</v>
      </c>
      <c r="G53" t="s">
        <v>35</v>
      </c>
      <c r="H53">
        <v>2416.89</v>
      </c>
      <c r="I53">
        <v>2778.3999999999901</v>
      </c>
      <c r="J53" t="s">
        <v>17</v>
      </c>
      <c r="K53" s="5">
        <v>0.05</v>
      </c>
      <c r="L53" t="s">
        <v>18</v>
      </c>
      <c r="M53" t="s">
        <v>19</v>
      </c>
      <c r="N53" t="s">
        <v>39</v>
      </c>
      <c r="O53" t="str">
        <f t="shared" si="0"/>
        <v>June</v>
      </c>
      <c r="P53">
        <f t="shared" si="2"/>
        <v>6</v>
      </c>
      <c r="Q53">
        <f t="shared" si="1"/>
        <v>2023</v>
      </c>
    </row>
    <row r="54" spans="1:17" x14ac:dyDescent="0.25">
      <c r="A54">
        <v>1089</v>
      </c>
      <c r="B54" s="1">
        <v>45226</v>
      </c>
      <c r="C54" t="s">
        <v>24</v>
      </c>
      <c r="D54" t="s">
        <v>15</v>
      </c>
      <c r="E54" s="4">
        <v>7751.92</v>
      </c>
      <c r="F54" s="2">
        <v>43</v>
      </c>
      <c r="G54" t="s">
        <v>16</v>
      </c>
      <c r="H54">
        <v>3851.45</v>
      </c>
      <c r="I54">
        <v>4186.9799999999996</v>
      </c>
      <c r="J54" t="s">
        <v>17</v>
      </c>
      <c r="K54" s="5">
        <v>0.3</v>
      </c>
      <c r="L54" t="s">
        <v>31</v>
      </c>
      <c r="M54" t="s">
        <v>19</v>
      </c>
      <c r="N54" t="s">
        <v>45</v>
      </c>
      <c r="O54" t="str">
        <f t="shared" si="0"/>
        <v>October</v>
      </c>
      <c r="P54">
        <f t="shared" si="2"/>
        <v>10</v>
      </c>
      <c r="Q54">
        <f t="shared" si="1"/>
        <v>2023</v>
      </c>
    </row>
    <row r="55" spans="1:17" x14ac:dyDescent="0.25">
      <c r="A55">
        <v>1060</v>
      </c>
      <c r="B55" s="1">
        <v>45059</v>
      </c>
      <c r="C55" t="s">
        <v>33</v>
      </c>
      <c r="D55" t="s">
        <v>21</v>
      </c>
      <c r="E55" s="4">
        <v>5260.83</v>
      </c>
      <c r="F55" s="2">
        <v>31</v>
      </c>
      <c r="G55" t="s">
        <v>35</v>
      </c>
      <c r="H55">
        <v>3161.4</v>
      </c>
      <c r="I55">
        <v>3339.66</v>
      </c>
      <c r="J55" t="s">
        <v>17</v>
      </c>
      <c r="K55" s="5">
        <v>0.02</v>
      </c>
      <c r="L55" t="s">
        <v>27</v>
      </c>
      <c r="M55" t="s">
        <v>19</v>
      </c>
      <c r="N55" t="s">
        <v>37</v>
      </c>
      <c r="O55" t="str">
        <f t="shared" si="0"/>
        <v>May</v>
      </c>
      <c r="P55">
        <f t="shared" si="2"/>
        <v>5</v>
      </c>
      <c r="Q55">
        <f t="shared" si="1"/>
        <v>2023</v>
      </c>
    </row>
    <row r="56" spans="1:17" x14ac:dyDescent="0.25">
      <c r="A56">
        <v>1014</v>
      </c>
      <c r="B56" s="1">
        <v>45252</v>
      </c>
      <c r="C56" t="s">
        <v>24</v>
      </c>
      <c r="D56" t="s">
        <v>21</v>
      </c>
      <c r="E56" s="4">
        <v>9762.5400000000009</v>
      </c>
      <c r="F56" s="2">
        <v>17</v>
      </c>
      <c r="G56" t="s">
        <v>26</v>
      </c>
      <c r="H56">
        <v>3184.65</v>
      </c>
      <c r="I56">
        <v>3204.01</v>
      </c>
      <c r="J56" t="s">
        <v>30</v>
      </c>
      <c r="K56" s="5">
        <v>0.2</v>
      </c>
      <c r="L56" t="s">
        <v>27</v>
      </c>
      <c r="M56" t="s">
        <v>19</v>
      </c>
      <c r="N56" t="s">
        <v>47</v>
      </c>
      <c r="O56" t="str">
        <f t="shared" si="0"/>
        <v>November</v>
      </c>
      <c r="P56">
        <f t="shared" si="2"/>
        <v>11</v>
      </c>
      <c r="Q56">
        <f t="shared" si="1"/>
        <v>2023</v>
      </c>
    </row>
    <row r="57" spans="1:17" x14ac:dyDescent="0.25">
      <c r="A57">
        <v>1009</v>
      </c>
      <c r="B57" s="1">
        <v>45044</v>
      </c>
      <c r="C57" t="s">
        <v>42</v>
      </c>
      <c r="D57" t="s">
        <v>15</v>
      </c>
      <c r="E57" s="4">
        <v>1342.95</v>
      </c>
      <c r="F57" s="2">
        <v>33</v>
      </c>
      <c r="G57" t="s">
        <v>29</v>
      </c>
      <c r="H57">
        <v>2278.9</v>
      </c>
      <c r="I57">
        <v>2626.9</v>
      </c>
      <c r="J57" t="s">
        <v>30</v>
      </c>
      <c r="K57" s="5">
        <v>0.05</v>
      </c>
      <c r="L57" t="s">
        <v>31</v>
      </c>
      <c r="M57" t="s">
        <v>19</v>
      </c>
      <c r="N57" t="s">
        <v>49</v>
      </c>
      <c r="O57" t="str">
        <f t="shared" si="0"/>
        <v>April</v>
      </c>
      <c r="P57">
        <f t="shared" si="2"/>
        <v>4</v>
      </c>
      <c r="Q57">
        <f t="shared" si="1"/>
        <v>2023</v>
      </c>
    </row>
    <row r="58" spans="1:17" x14ac:dyDescent="0.25">
      <c r="A58">
        <v>1090</v>
      </c>
      <c r="B58" s="1">
        <v>45250</v>
      </c>
      <c r="C58" t="s">
        <v>42</v>
      </c>
      <c r="D58" t="s">
        <v>21</v>
      </c>
      <c r="E58" s="4">
        <v>267.77999999999997</v>
      </c>
      <c r="F58" s="2">
        <v>32</v>
      </c>
      <c r="G58" t="s">
        <v>35</v>
      </c>
      <c r="H58">
        <v>2678.99</v>
      </c>
      <c r="I58">
        <v>3152.2799999999902</v>
      </c>
      <c r="J58" t="s">
        <v>17</v>
      </c>
      <c r="K58" s="5">
        <v>0.22</v>
      </c>
      <c r="L58" t="s">
        <v>18</v>
      </c>
      <c r="M58" t="s">
        <v>22</v>
      </c>
      <c r="N58" t="s">
        <v>51</v>
      </c>
      <c r="O58" t="str">
        <f t="shared" si="0"/>
        <v>November</v>
      </c>
      <c r="P58">
        <f t="shared" si="2"/>
        <v>11</v>
      </c>
      <c r="Q58">
        <f t="shared" si="1"/>
        <v>2023</v>
      </c>
    </row>
    <row r="59" spans="1:17" x14ac:dyDescent="0.25">
      <c r="A59">
        <v>1053</v>
      </c>
      <c r="B59" s="1">
        <v>45201</v>
      </c>
      <c r="C59" t="s">
        <v>24</v>
      </c>
      <c r="D59" t="s">
        <v>34</v>
      </c>
      <c r="E59" s="4">
        <v>7724.57</v>
      </c>
      <c r="F59" s="2">
        <v>29</v>
      </c>
      <c r="G59" t="s">
        <v>35</v>
      </c>
      <c r="H59">
        <v>3741.3</v>
      </c>
      <c r="I59">
        <v>4061.04</v>
      </c>
      <c r="J59" t="s">
        <v>17</v>
      </c>
      <c r="K59" s="5">
        <v>0.21</v>
      </c>
      <c r="L59" t="s">
        <v>31</v>
      </c>
      <c r="M59" t="s">
        <v>19</v>
      </c>
      <c r="N59" t="s">
        <v>50</v>
      </c>
      <c r="O59" t="str">
        <f t="shared" si="0"/>
        <v>October</v>
      </c>
      <c r="P59">
        <f t="shared" si="2"/>
        <v>10</v>
      </c>
      <c r="Q59">
        <f t="shared" si="1"/>
        <v>2023</v>
      </c>
    </row>
    <row r="60" spans="1:17" x14ac:dyDescent="0.25">
      <c r="A60">
        <v>1002</v>
      </c>
      <c r="B60" s="1">
        <v>45138</v>
      </c>
      <c r="C60" t="s">
        <v>24</v>
      </c>
      <c r="D60" t="s">
        <v>34</v>
      </c>
      <c r="E60" s="4">
        <v>8090.84</v>
      </c>
      <c r="F60" s="2">
        <v>21</v>
      </c>
      <c r="G60" t="s">
        <v>29</v>
      </c>
      <c r="H60">
        <v>4138.41</v>
      </c>
      <c r="I60">
        <v>4361.7</v>
      </c>
      <c r="J60" t="s">
        <v>17</v>
      </c>
      <c r="K60" s="5">
        <v>7.0000000000000007E-2</v>
      </c>
      <c r="L60" t="s">
        <v>31</v>
      </c>
      <c r="M60" t="s">
        <v>22</v>
      </c>
      <c r="N60" t="s">
        <v>50</v>
      </c>
      <c r="O60" t="str">
        <f t="shared" si="0"/>
        <v>July</v>
      </c>
      <c r="P60">
        <f t="shared" si="2"/>
        <v>7</v>
      </c>
      <c r="Q60">
        <f t="shared" si="1"/>
        <v>2023</v>
      </c>
    </row>
    <row r="61" spans="1:17" x14ac:dyDescent="0.25">
      <c r="A61">
        <v>1084</v>
      </c>
      <c r="B61" s="1">
        <v>45151</v>
      </c>
      <c r="C61" t="s">
        <v>42</v>
      </c>
      <c r="D61" t="s">
        <v>21</v>
      </c>
      <c r="E61" s="4">
        <v>1290.05</v>
      </c>
      <c r="F61" s="2">
        <v>21</v>
      </c>
      <c r="G61" t="s">
        <v>16</v>
      </c>
      <c r="H61">
        <v>3497.98</v>
      </c>
      <c r="I61">
        <v>3765.31</v>
      </c>
      <c r="J61" t="s">
        <v>30</v>
      </c>
      <c r="K61" s="5">
        <v>0.08</v>
      </c>
      <c r="L61" t="s">
        <v>18</v>
      </c>
      <c r="M61" t="s">
        <v>19</v>
      </c>
      <c r="N61" t="s">
        <v>51</v>
      </c>
      <c r="O61" t="str">
        <f t="shared" si="0"/>
        <v>August</v>
      </c>
      <c r="P61">
        <f t="shared" si="2"/>
        <v>8</v>
      </c>
      <c r="Q61">
        <f t="shared" si="1"/>
        <v>2023</v>
      </c>
    </row>
    <row r="62" spans="1:17" x14ac:dyDescent="0.25">
      <c r="A62">
        <v>1092</v>
      </c>
      <c r="B62" s="1">
        <v>44946</v>
      </c>
      <c r="C62" t="s">
        <v>33</v>
      </c>
      <c r="D62" t="s">
        <v>34</v>
      </c>
      <c r="E62" s="4">
        <v>2729.27</v>
      </c>
      <c r="F62" s="2">
        <v>40</v>
      </c>
      <c r="G62" t="s">
        <v>35</v>
      </c>
      <c r="H62">
        <v>4624.16</v>
      </c>
      <c r="I62">
        <v>4731.9799999999996</v>
      </c>
      <c r="J62" t="s">
        <v>30</v>
      </c>
      <c r="K62" s="5">
        <v>0.2</v>
      </c>
      <c r="L62" t="s">
        <v>27</v>
      </c>
      <c r="M62" t="s">
        <v>22</v>
      </c>
      <c r="N62" t="s">
        <v>36</v>
      </c>
      <c r="O62" t="str">
        <f t="shared" si="0"/>
        <v>January</v>
      </c>
      <c r="P62">
        <f t="shared" si="2"/>
        <v>1</v>
      </c>
      <c r="Q62">
        <f t="shared" si="1"/>
        <v>2023</v>
      </c>
    </row>
    <row r="63" spans="1:17" x14ac:dyDescent="0.25">
      <c r="A63">
        <v>1060</v>
      </c>
      <c r="B63" s="1">
        <v>45039</v>
      </c>
      <c r="C63" t="s">
        <v>38</v>
      </c>
      <c r="D63" t="s">
        <v>34</v>
      </c>
      <c r="E63" s="4">
        <v>273.77</v>
      </c>
      <c r="F63" s="2">
        <v>23</v>
      </c>
      <c r="G63" t="s">
        <v>29</v>
      </c>
      <c r="H63">
        <v>4110.6000000000004</v>
      </c>
      <c r="I63">
        <v>4488.37</v>
      </c>
      <c r="J63" t="s">
        <v>30</v>
      </c>
      <c r="K63" s="5">
        <v>0.12</v>
      </c>
      <c r="L63" t="s">
        <v>31</v>
      </c>
      <c r="M63" t="s">
        <v>19</v>
      </c>
      <c r="N63" t="s">
        <v>48</v>
      </c>
      <c r="O63" t="str">
        <f t="shared" si="0"/>
        <v>April</v>
      </c>
      <c r="P63">
        <f t="shared" si="2"/>
        <v>4</v>
      </c>
      <c r="Q63">
        <f t="shared" si="1"/>
        <v>2023</v>
      </c>
    </row>
    <row r="64" spans="1:17" x14ac:dyDescent="0.25">
      <c r="A64">
        <v>1071</v>
      </c>
      <c r="B64" s="1">
        <v>45066</v>
      </c>
      <c r="C64" t="s">
        <v>38</v>
      </c>
      <c r="D64" t="s">
        <v>21</v>
      </c>
      <c r="E64" s="4">
        <v>3003.76</v>
      </c>
      <c r="F64" s="2">
        <v>6</v>
      </c>
      <c r="G64" t="s">
        <v>16</v>
      </c>
      <c r="H64">
        <v>2831.23</v>
      </c>
      <c r="I64">
        <v>3206.98</v>
      </c>
      <c r="J64" t="s">
        <v>17</v>
      </c>
      <c r="K64" s="5">
        <v>0.06</v>
      </c>
      <c r="L64" t="s">
        <v>27</v>
      </c>
      <c r="M64" t="s">
        <v>22</v>
      </c>
      <c r="N64" t="s">
        <v>41</v>
      </c>
      <c r="O64" t="str">
        <f t="shared" si="0"/>
        <v>May</v>
      </c>
      <c r="P64">
        <f t="shared" si="2"/>
        <v>5</v>
      </c>
      <c r="Q64">
        <f t="shared" si="1"/>
        <v>2023</v>
      </c>
    </row>
    <row r="65" spans="1:17" x14ac:dyDescent="0.25">
      <c r="A65">
        <v>1044</v>
      </c>
      <c r="B65" s="1">
        <v>44973</v>
      </c>
      <c r="C65" t="s">
        <v>24</v>
      </c>
      <c r="D65" t="s">
        <v>25</v>
      </c>
      <c r="E65" s="4">
        <v>7754.1</v>
      </c>
      <c r="F65" s="2">
        <v>22</v>
      </c>
      <c r="G65" t="s">
        <v>26</v>
      </c>
      <c r="H65">
        <v>3373.46</v>
      </c>
      <c r="I65">
        <v>3454.76</v>
      </c>
      <c r="J65" t="s">
        <v>17</v>
      </c>
      <c r="K65" s="5">
        <v>0.22</v>
      </c>
      <c r="L65" t="s">
        <v>27</v>
      </c>
      <c r="M65" t="s">
        <v>22</v>
      </c>
      <c r="N65" t="s">
        <v>28</v>
      </c>
      <c r="O65" t="str">
        <f t="shared" si="0"/>
        <v>February</v>
      </c>
      <c r="P65">
        <f t="shared" si="2"/>
        <v>2</v>
      </c>
      <c r="Q65">
        <f t="shared" si="1"/>
        <v>2023</v>
      </c>
    </row>
    <row r="66" spans="1:17" x14ac:dyDescent="0.25">
      <c r="A66">
        <v>1008</v>
      </c>
      <c r="B66" s="1">
        <v>44927</v>
      </c>
      <c r="C66" t="s">
        <v>38</v>
      </c>
      <c r="D66" t="s">
        <v>15</v>
      </c>
      <c r="E66" s="4">
        <v>5227.8100000000004</v>
      </c>
      <c r="F66" s="2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 s="5">
        <v>0.05</v>
      </c>
      <c r="L66" t="s">
        <v>18</v>
      </c>
      <c r="M66" t="s">
        <v>19</v>
      </c>
      <c r="N66" t="s">
        <v>40</v>
      </c>
      <c r="O66" t="str">
        <f t="shared" ref="O66:O129" si="3">TEXT(B66,"mmmm")</f>
        <v>January</v>
      </c>
      <c r="P66">
        <f t="shared" ref="P66:P129" si="4">MONTH(B66)</f>
        <v>1</v>
      </c>
      <c r="Q66">
        <f t="shared" ref="Q66:Q129" si="5">YEAR(B66)</f>
        <v>2023</v>
      </c>
    </row>
    <row r="67" spans="1:17" x14ac:dyDescent="0.25">
      <c r="A67">
        <v>1047</v>
      </c>
      <c r="B67" s="1">
        <v>45016</v>
      </c>
      <c r="C67" t="s">
        <v>42</v>
      </c>
      <c r="D67" t="s">
        <v>34</v>
      </c>
      <c r="E67" s="4">
        <v>3546.15</v>
      </c>
      <c r="F67" s="2">
        <v>37</v>
      </c>
      <c r="G67" t="s">
        <v>35</v>
      </c>
      <c r="H67">
        <v>3114.88</v>
      </c>
      <c r="I67">
        <v>3256.78</v>
      </c>
      <c r="J67" t="s">
        <v>17</v>
      </c>
      <c r="K67" s="5">
        <v>0.26</v>
      </c>
      <c r="L67" t="s">
        <v>31</v>
      </c>
      <c r="M67" t="s">
        <v>19</v>
      </c>
      <c r="N67" t="s">
        <v>52</v>
      </c>
      <c r="O67" t="str">
        <f t="shared" si="3"/>
        <v>March</v>
      </c>
      <c r="P67">
        <f t="shared" si="4"/>
        <v>3</v>
      </c>
      <c r="Q67">
        <f t="shared" si="5"/>
        <v>2023</v>
      </c>
    </row>
    <row r="68" spans="1:17" x14ac:dyDescent="0.25">
      <c r="A68">
        <v>1035</v>
      </c>
      <c r="B68" s="1">
        <v>45068</v>
      </c>
      <c r="C68" t="s">
        <v>42</v>
      </c>
      <c r="D68" t="s">
        <v>25</v>
      </c>
      <c r="E68" s="4">
        <v>3780.22</v>
      </c>
      <c r="F68" s="2">
        <v>45</v>
      </c>
      <c r="G68" t="s">
        <v>26</v>
      </c>
      <c r="H68">
        <v>4132.79</v>
      </c>
      <c r="I68">
        <v>4624.1000000000004</v>
      </c>
      <c r="J68" t="s">
        <v>30</v>
      </c>
      <c r="K68" s="5">
        <v>0.15</v>
      </c>
      <c r="L68" t="s">
        <v>31</v>
      </c>
      <c r="M68" t="s">
        <v>22</v>
      </c>
      <c r="N68" t="s">
        <v>43</v>
      </c>
      <c r="O68" t="str">
        <f t="shared" si="3"/>
        <v>May</v>
      </c>
      <c r="P68">
        <f t="shared" si="4"/>
        <v>5</v>
      </c>
      <c r="Q68">
        <f t="shared" si="5"/>
        <v>2023</v>
      </c>
    </row>
    <row r="69" spans="1:17" x14ac:dyDescent="0.25">
      <c r="A69">
        <v>1078</v>
      </c>
      <c r="B69" s="1">
        <v>45246</v>
      </c>
      <c r="C69" t="s">
        <v>24</v>
      </c>
      <c r="D69" t="s">
        <v>34</v>
      </c>
      <c r="E69" s="4">
        <v>113.4</v>
      </c>
      <c r="F69" s="2">
        <v>8</v>
      </c>
      <c r="G69" t="s">
        <v>16</v>
      </c>
      <c r="H69">
        <v>3459.61</v>
      </c>
      <c r="I69">
        <v>3657.23</v>
      </c>
      <c r="J69" t="s">
        <v>17</v>
      </c>
      <c r="K69" s="5">
        <v>0.03</v>
      </c>
      <c r="L69" t="s">
        <v>27</v>
      </c>
      <c r="M69" t="s">
        <v>19</v>
      </c>
      <c r="N69" t="s">
        <v>50</v>
      </c>
      <c r="O69" t="str">
        <f t="shared" si="3"/>
        <v>November</v>
      </c>
      <c r="P69">
        <f t="shared" si="4"/>
        <v>11</v>
      </c>
      <c r="Q69">
        <f t="shared" si="5"/>
        <v>2023</v>
      </c>
    </row>
    <row r="70" spans="1:17" x14ac:dyDescent="0.25">
      <c r="A70">
        <v>1081</v>
      </c>
      <c r="B70" s="1">
        <v>44964</v>
      </c>
      <c r="C70" t="s">
        <v>24</v>
      </c>
      <c r="D70" t="s">
        <v>34</v>
      </c>
      <c r="E70" s="4">
        <v>3068.03</v>
      </c>
      <c r="F70" s="2">
        <v>41</v>
      </c>
      <c r="G70" t="s">
        <v>16</v>
      </c>
      <c r="H70">
        <v>2782.08</v>
      </c>
      <c r="I70">
        <v>2879.24</v>
      </c>
      <c r="J70" t="s">
        <v>30</v>
      </c>
      <c r="K70" s="5">
        <v>0.21</v>
      </c>
      <c r="L70" t="s">
        <v>27</v>
      </c>
      <c r="M70" t="s">
        <v>19</v>
      </c>
      <c r="N70" t="s">
        <v>50</v>
      </c>
      <c r="O70" t="str">
        <f t="shared" si="3"/>
        <v>February</v>
      </c>
      <c r="P70">
        <f t="shared" si="4"/>
        <v>2</v>
      </c>
      <c r="Q70">
        <f t="shared" si="5"/>
        <v>2023</v>
      </c>
    </row>
    <row r="71" spans="1:17" x14ac:dyDescent="0.25">
      <c r="A71">
        <v>1036</v>
      </c>
      <c r="B71" s="1">
        <v>45219</v>
      </c>
      <c r="C71" t="s">
        <v>24</v>
      </c>
      <c r="D71" t="s">
        <v>15</v>
      </c>
      <c r="E71" s="4">
        <v>6499.94</v>
      </c>
      <c r="F71" s="2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 s="5">
        <v>0.16</v>
      </c>
      <c r="L71" t="s">
        <v>18</v>
      </c>
      <c r="M71" t="s">
        <v>19</v>
      </c>
      <c r="N71" t="s">
        <v>45</v>
      </c>
      <c r="O71" t="str">
        <f t="shared" si="3"/>
        <v>October</v>
      </c>
      <c r="P71">
        <f t="shared" si="4"/>
        <v>10</v>
      </c>
      <c r="Q71">
        <f t="shared" si="5"/>
        <v>2023</v>
      </c>
    </row>
    <row r="72" spans="1:17" x14ac:dyDescent="0.25">
      <c r="A72">
        <v>1050</v>
      </c>
      <c r="B72" s="1">
        <v>45065</v>
      </c>
      <c r="C72" t="s">
        <v>33</v>
      </c>
      <c r="D72" t="s">
        <v>34</v>
      </c>
      <c r="E72" s="4">
        <v>9744.52</v>
      </c>
      <c r="F72" s="2">
        <v>35</v>
      </c>
      <c r="G72" t="s">
        <v>29</v>
      </c>
      <c r="H72">
        <v>2158.69</v>
      </c>
      <c r="I72">
        <v>2384.38</v>
      </c>
      <c r="J72" t="s">
        <v>17</v>
      </c>
      <c r="K72" s="5">
        <v>0.09</v>
      </c>
      <c r="L72" t="s">
        <v>27</v>
      </c>
      <c r="M72" t="s">
        <v>22</v>
      </c>
      <c r="N72" t="s">
        <v>36</v>
      </c>
      <c r="O72" t="str">
        <f t="shared" si="3"/>
        <v>May</v>
      </c>
      <c r="P72">
        <f t="shared" si="4"/>
        <v>5</v>
      </c>
      <c r="Q72">
        <f t="shared" si="5"/>
        <v>2023</v>
      </c>
    </row>
    <row r="73" spans="1:17" x14ac:dyDescent="0.25">
      <c r="A73">
        <v>1004</v>
      </c>
      <c r="B73" s="1">
        <v>45282</v>
      </c>
      <c r="C73" t="s">
        <v>38</v>
      </c>
      <c r="D73" t="s">
        <v>15</v>
      </c>
      <c r="E73" s="4">
        <v>8485.9</v>
      </c>
      <c r="F73" s="2">
        <v>11</v>
      </c>
      <c r="G73" t="s">
        <v>29</v>
      </c>
      <c r="H73">
        <v>4840.33</v>
      </c>
      <c r="I73">
        <v>4884.29</v>
      </c>
      <c r="J73" t="s">
        <v>30</v>
      </c>
      <c r="K73" s="5">
        <v>0.13</v>
      </c>
      <c r="L73" t="s">
        <v>18</v>
      </c>
      <c r="M73" t="s">
        <v>19</v>
      </c>
      <c r="N73" t="s">
        <v>40</v>
      </c>
      <c r="O73" t="str">
        <f t="shared" si="3"/>
        <v>December</v>
      </c>
      <c r="P73">
        <f t="shared" si="4"/>
        <v>12</v>
      </c>
      <c r="Q73">
        <f t="shared" si="5"/>
        <v>2023</v>
      </c>
    </row>
    <row r="74" spans="1:17" x14ac:dyDescent="0.25">
      <c r="A74">
        <v>1002</v>
      </c>
      <c r="B74" s="1">
        <v>45259</v>
      </c>
      <c r="C74" t="s">
        <v>24</v>
      </c>
      <c r="D74" t="s">
        <v>15</v>
      </c>
      <c r="E74" s="4">
        <v>333.59</v>
      </c>
      <c r="F74" s="2">
        <v>24</v>
      </c>
      <c r="G74" t="s">
        <v>16</v>
      </c>
      <c r="H74">
        <v>3305.94</v>
      </c>
      <c r="I74">
        <v>3599.27</v>
      </c>
      <c r="J74" t="s">
        <v>30</v>
      </c>
      <c r="K74" s="5">
        <v>0.09</v>
      </c>
      <c r="L74" t="s">
        <v>31</v>
      </c>
      <c r="M74" t="s">
        <v>22</v>
      </c>
      <c r="N74" t="s">
        <v>45</v>
      </c>
      <c r="O74" t="str">
        <f t="shared" si="3"/>
        <v>November</v>
      </c>
      <c r="P74">
        <f t="shared" si="4"/>
        <v>11</v>
      </c>
      <c r="Q74">
        <f t="shared" si="5"/>
        <v>2023</v>
      </c>
    </row>
    <row r="75" spans="1:17" x14ac:dyDescent="0.25">
      <c r="A75">
        <v>1006</v>
      </c>
      <c r="B75" s="1">
        <v>45185</v>
      </c>
      <c r="C75" t="s">
        <v>14</v>
      </c>
      <c r="D75" t="s">
        <v>15</v>
      </c>
      <c r="E75" s="4">
        <v>8995.75</v>
      </c>
      <c r="F75" s="2">
        <v>49</v>
      </c>
      <c r="G75" t="s">
        <v>26</v>
      </c>
      <c r="H75">
        <v>2843.76</v>
      </c>
      <c r="I75">
        <v>3146.6</v>
      </c>
      <c r="J75" t="s">
        <v>30</v>
      </c>
      <c r="K75" s="5">
        <v>0.08</v>
      </c>
      <c r="L75" t="s">
        <v>18</v>
      </c>
      <c r="M75" t="s">
        <v>22</v>
      </c>
      <c r="N75" t="s">
        <v>20</v>
      </c>
      <c r="O75" t="str">
        <f t="shared" si="3"/>
        <v>September</v>
      </c>
      <c r="P75">
        <f t="shared" si="4"/>
        <v>9</v>
      </c>
      <c r="Q75">
        <f t="shared" si="5"/>
        <v>2023</v>
      </c>
    </row>
    <row r="76" spans="1:17" x14ac:dyDescent="0.25">
      <c r="A76">
        <v>1054</v>
      </c>
      <c r="B76" s="1">
        <v>45087</v>
      </c>
      <c r="C76" t="s">
        <v>14</v>
      </c>
      <c r="D76" t="s">
        <v>25</v>
      </c>
      <c r="E76" s="4">
        <v>7853.66</v>
      </c>
      <c r="F76" s="2">
        <v>21</v>
      </c>
      <c r="G76" t="s">
        <v>16</v>
      </c>
      <c r="H76">
        <v>4668.1400000000003</v>
      </c>
      <c r="I76">
        <v>5040.22</v>
      </c>
      <c r="J76" t="s">
        <v>30</v>
      </c>
      <c r="K76" s="5">
        <v>0.05</v>
      </c>
      <c r="L76" t="s">
        <v>27</v>
      </c>
      <c r="M76" t="s">
        <v>19</v>
      </c>
      <c r="N76" t="s">
        <v>32</v>
      </c>
      <c r="O76" t="str">
        <f t="shared" si="3"/>
        <v>June</v>
      </c>
      <c r="P76">
        <f t="shared" si="4"/>
        <v>6</v>
      </c>
      <c r="Q76">
        <f t="shared" si="5"/>
        <v>2023</v>
      </c>
    </row>
    <row r="77" spans="1:17" x14ac:dyDescent="0.25">
      <c r="A77">
        <v>1004</v>
      </c>
      <c r="B77" s="1">
        <v>45104</v>
      </c>
      <c r="C77" t="s">
        <v>42</v>
      </c>
      <c r="D77" t="s">
        <v>21</v>
      </c>
      <c r="E77" s="4">
        <v>7825.72</v>
      </c>
      <c r="F77" s="2">
        <v>2</v>
      </c>
      <c r="G77" t="s">
        <v>35</v>
      </c>
      <c r="H77">
        <v>2953.23</v>
      </c>
      <c r="I77">
        <v>2977.52</v>
      </c>
      <c r="J77" t="s">
        <v>17</v>
      </c>
      <c r="K77" s="5">
        <v>0.11</v>
      </c>
      <c r="L77" t="s">
        <v>31</v>
      </c>
      <c r="M77" t="s">
        <v>22</v>
      </c>
      <c r="N77" t="s">
        <v>51</v>
      </c>
      <c r="O77" t="str">
        <f t="shared" si="3"/>
        <v>June</v>
      </c>
      <c r="P77">
        <f t="shared" si="4"/>
        <v>6</v>
      </c>
      <c r="Q77">
        <f t="shared" si="5"/>
        <v>2023</v>
      </c>
    </row>
    <row r="78" spans="1:17" x14ac:dyDescent="0.25">
      <c r="A78">
        <v>1054</v>
      </c>
      <c r="B78" s="1">
        <v>44936</v>
      </c>
      <c r="C78" t="s">
        <v>38</v>
      </c>
      <c r="D78" t="s">
        <v>25</v>
      </c>
      <c r="E78" s="4">
        <v>4634.16</v>
      </c>
      <c r="F78" s="2">
        <v>40</v>
      </c>
      <c r="G78" t="s">
        <v>16</v>
      </c>
      <c r="H78">
        <v>2654.11</v>
      </c>
      <c r="I78">
        <v>2929.32</v>
      </c>
      <c r="J78" t="s">
        <v>17</v>
      </c>
      <c r="K78" s="5">
        <v>0.08</v>
      </c>
      <c r="L78" t="s">
        <v>18</v>
      </c>
      <c r="M78" t="s">
        <v>19</v>
      </c>
      <c r="N78" t="s">
        <v>39</v>
      </c>
      <c r="O78" t="str">
        <f t="shared" si="3"/>
        <v>January</v>
      </c>
      <c r="P78">
        <f t="shared" si="4"/>
        <v>1</v>
      </c>
      <c r="Q78">
        <f t="shared" si="5"/>
        <v>2023</v>
      </c>
    </row>
    <row r="79" spans="1:17" x14ac:dyDescent="0.25">
      <c r="A79">
        <v>1093</v>
      </c>
      <c r="B79" s="1">
        <v>45187</v>
      </c>
      <c r="C79" t="s">
        <v>24</v>
      </c>
      <c r="D79" t="s">
        <v>21</v>
      </c>
      <c r="E79" s="4">
        <v>4040.25</v>
      </c>
      <c r="F79" s="2">
        <v>19</v>
      </c>
      <c r="G79" t="s">
        <v>35</v>
      </c>
      <c r="H79">
        <v>3808.59</v>
      </c>
      <c r="I79">
        <v>3844.51</v>
      </c>
      <c r="J79" t="s">
        <v>30</v>
      </c>
      <c r="K79" s="5">
        <v>0.21</v>
      </c>
      <c r="L79" t="s">
        <v>31</v>
      </c>
      <c r="M79" t="s">
        <v>19</v>
      </c>
      <c r="N79" t="s">
        <v>47</v>
      </c>
      <c r="O79" t="str">
        <f t="shared" si="3"/>
        <v>September</v>
      </c>
      <c r="P79">
        <f t="shared" si="4"/>
        <v>9</v>
      </c>
      <c r="Q79">
        <f t="shared" si="5"/>
        <v>2023</v>
      </c>
    </row>
    <row r="80" spans="1:17" x14ac:dyDescent="0.25">
      <c r="A80">
        <v>1063</v>
      </c>
      <c r="B80" s="1">
        <v>45064</v>
      </c>
      <c r="C80" t="s">
        <v>14</v>
      </c>
      <c r="D80" t="s">
        <v>21</v>
      </c>
      <c r="E80" s="4">
        <v>3098.87</v>
      </c>
      <c r="F80" s="2">
        <v>39</v>
      </c>
      <c r="G80" t="s">
        <v>26</v>
      </c>
      <c r="H80">
        <v>3577.69</v>
      </c>
      <c r="I80">
        <v>3931.25</v>
      </c>
      <c r="J80" t="s">
        <v>17</v>
      </c>
      <c r="K80" s="5">
        <v>0.21</v>
      </c>
      <c r="L80" t="s">
        <v>18</v>
      </c>
      <c r="M80" t="s">
        <v>22</v>
      </c>
      <c r="N80" t="s">
        <v>23</v>
      </c>
      <c r="O80" t="str">
        <f t="shared" si="3"/>
        <v>May</v>
      </c>
      <c r="P80">
        <f t="shared" si="4"/>
        <v>5</v>
      </c>
      <c r="Q80">
        <f t="shared" si="5"/>
        <v>2023</v>
      </c>
    </row>
    <row r="81" spans="1:17" x14ac:dyDescent="0.25">
      <c r="A81">
        <v>1018</v>
      </c>
      <c r="B81" s="1">
        <v>45098</v>
      </c>
      <c r="C81" t="s">
        <v>38</v>
      </c>
      <c r="D81" t="s">
        <v>15</v>
      </c>
      <c r="E81" s="4">
        <v>750.38</v>
      </c>
      <c r="F81" s="2">
        <v>28</v>
      </c>
      <c r="G81" t="s">
        <v>29</v>
      </c>
      <c r="H81">
        <v>1006.14</v>
      </c>
      <c r="I81">
        <v>1043.45</v>
      </c>
      <c r="J81" t="s">
        <v>30</v>
      </c>
      <c r="K81" s="5">
        <v>0.15</v>
      </c>
      <c r="L81" t="s">
        <v>27</v>
      </c>
      <c r="M81" t="s">
        <v>22</v>
      </c>
      <c r="N81" t="s">
        <v>40</v>
      </c>
      <c r="O81" t="str">
        <f t="shared" si="3"/>
        <v>June</v>
      </c>
      <c r="P81">
        <f t="shared" si="4"/>
        <v>6</v>
      </c>
      <c r="Q81">
        <f t="shared" si="5"/>
        <v>2023</v>
      </c>
    </row>
    <row r="82" spans="1:17" x14ac:dyDescent="0.25">
      <c r="A82">
        <v>1090</v>
      </c>
      <c r="B82" s="1">
        <v>44939</v>
      </c>
      <c r="C82" t="s">
        <v>42</v>
      </c>
      <c r="D82" t="s">
        <v>34</v>
      </c>
      <c r="E82" s="4">
        <v>2359.5300000000002</v>
      </c>
      <c r="F82" s="2">
        <v>17</v>
      </c>
      <c r="G82" t="s">
        <v>29</v>
      </c>
      <c r="H82">
        <v>2382.98</v>
      </c>
      <c r="I82">
        <v>2839.73</v>
      </c>
      <c r="J82" t="s">
        <v>17</v>
      </c>
      <c r="K82" s="5">
        <v>0.23</v>
      </c>
      <c r="L82" t="s">
        <v>27</v>
      </c>
      <c r="M82" t="s">
        <v>22</v>
      </c>
      <c r="N82" t="s">
        <v>52</v>
      </c>
      <c r="O82" t="str">
        <f t="shared" si="3"/>
        <v>January</v>
      </c>
      <c r="P82">
        <f t="shared" si="4"/>
        <v>1</v>
      </c>
      <c r="Q82">
        <f t="shared" si="5"/>
        <v>2023</v>
      </c>
    </row>
    <row r="83" spans="1:17" x14ac:dyDescent="0.25">
      <c r="A83">
        <v>1044</v>
      </c>
      <c r="B83" s="1">
        <v>45094</v>
      </c>
      <c r="C83" t="s">
        <v>33</v>
      </c>
      <c r="D83" t="s">
        <v>15</v>
      </c>
      <c r="E83" s="4">
        <v>2541.38</v>
      </c>
      <c r="F83" s="2">
        <v>6</v>
      </c>
      <c r="G83" t="s">
        <v>16</v>
      </c>
      <c r="H83">
        <v>2388.9499999999998</v>
      </c>
      <c r="I83">
        <v>2742.97</v>
      </c>
      <c r="J83" t="s">
        <v>17</v>
      </c>
      <c r="K83" s="5">
        <v>0.25</v>
      </c>
      <c r="L83" t="s">
        <v>31</v>
      </c>
      <c r="M83" t="s">
        <v>22</v>
      </c>
      <c r="N83" t="s">
        <v>53</v>
      </c>
      <c r="O83" t="str">
        <f t="shared" si="3"/>
        <v>June</v>
      </c>
      <c r="P83">
        <f t="shared" si="4"/>
        <v>6</v>
      </c>
      <c r="Q83">
        <f t="shared" si="5"/>
        <v>2023</v>
      </c>
    </row>
    <row r="84" spans="1:17" x14ac:dyDescent="0.25">
      <c r="A84">
        <v>1034</v>
      </c>
      <c r="B84" s="1">
        <v>45056</v>
      </c>
      <c r="C84" t="s">
        <v>38</v>
      </c>
      <c r="D84" t="s">
        <v>34</v>
      </c>
      <c r="E84" s="4">
        <v>4892.3599999999997</v>
      </c>
      <c r="F84" s="2">
        <v>19</v>
      </c>
      <c r="G84" t="s">
        <v>29</v>
      </c>
      <c r="H84">
        <v>1922.21</v>
      </c>
      <c r="I84">
        <v>2180.83</v>
      </c>
      <c r="J84" t="s">
        <v>17</v>
      </c>
      <c r="K84" s="5">
        <v>0.17</v>
      </c>
      <c r="L84" t="s">
        <v>31</v>
      </c>
      <c r="M84" t="s">
        <v>22</v>
      </c>
      <c r="N84" t="s">
        <v>48</v>
      </c>
      <c r="O84" t="str">
        <f t="shared" si="3"/>
        <v>May</v>
      </c>
      <c r="P84">
        <f t="shared" si="4"/>
        <v>5</v>
      </c>
      <c r="Q84">
        <f t="shared" si="5"/>
        <v>2023</v>
      </c>
    </row>
    <row r="85" spans="1:17" x14ac:dyDescent="0.25">
      <c r="A85">
        <v>1074</v>
      </c>
      <c r="B85" s="1">
        <v>45010</v>
      </c>
      <c r="C85" t="s">
        <v>38</v>
      </c>
      <c r="D85" t="s">
        <v>21</v>
      </c>
      <c r="E85" s="4">
        <v>7499.7</v>
      </c>
      <c r="F85" s="2">
        <v>38</v>
      </c>
      <c r="G85" t="s">
        <v>26</v>
      </c>
      <c r="H85">
        <v>2610.6</v>
      </c>
      <c r="I85">
        <v>2836.94</v>
      </c>
      <c r="J85" t="s">
        <v>17</v>
      </c>
      <c r="K85" s="5">
        <v>0.19</v>
      </c>
      <c r="L85" t="s">
        <v>31</v>
      </c>
      <c r="M85" t="s">
        <v>19</v>
      </c>
      <c r="N85" t="s">
        <v>41</v>
      </c>
      <c r="O85" t="str">
        <f t="shared" si="3"/>
        <v>March</v>
      </c>
      <c r="P85">
        <f t="shared" si="4"/>
        <v>3</v>
      </c>
      <c r="Q85">
        <f t="shared" si="5"/>
        <v>2023</v>
      </c>
    </row>
    <row r="86" spans="1:17" x14ac:dyDescent="0.25">
      <c r="A86">
        <v>1062</v>
      </c>
      <c r="B86" s="1">
        <v>45247</v>
      </c>
      <c r="C86" t="s">
        <v>33</v>
      </c>
      <c r="D86" t="s">
        <v>15</v>
      </c>
      <c r="E86" s="4">
        <v>4790.72</v>
      </c>
      <c r="F86" s="2">
        <v>28</v>
      </c>
      <c r="G86" t="s">
        <v>29</v>
      </c>
      <c r="H86">
        <v>2094.88</v>
      </c>
      <c r="I86">
        <v>2168.91</v>
      </c>
      <c r="J86" t="s">
        <v>17</v>
      </c>
      <c r="K86" s="5">
        <v>0.08</v>
      </c>
      <c r="L86" t="s">
        <v>18</v>
      </c>
      <c r="M86" t="s">
        <v>22</v>
      </c>
      <c r="N86" t="s">
        <v>53</v>
      </c>
      <c r="O86" t="str">
        <f t="shared" si="3"/>
        <v>November</v>
      </c>
      <c r="P86">
        <f t="shared" si="4"/>
        <v>11</v>
      </c>
      <c r="Q86">
        <f t="shared" si="5"/>
        <v>2023</v>
      </c>
    </row>
    <row r="87" spans="1:17" x14ac:dyDescent="0.25">
      <c r="A87">
        <v>1100</v>
      </c>
      <c r="B87" s="1">
        <v>45245</v>
      </c>
      <c r="C87" t="s">
        <v>38</v>
      </c>
      <c r="D87" t="s">
        <v>34</v>
      </c>
      <c r="E87" s="4">
        <v>672.66</v>
      </c>
      <c r="F87" s="2">
        <v>2</v>
      </c>
      <c r="G87" t="s">
        <v>16</v>
      </c>
      <c r="H87">
        <v>1036.76</v>
      </c>
      <c r="I87">
        <v>1189.3499999999999</v>
      </c>
      <c r="J87" t="s">
        <v>30</v>
      </c>
      <c r="K87" s="5">
        <v>0.27</v>
      </c>
      <c r="L87" t="s">
        <v>27</v>
      </c>
      <c r="M87" t="s">
        <v>19</v>
      </c>
      <c r="N87" t="s">
        <v>48</v>
      </c>
      <c r="O87" t="str">
        <f t="shared" si="3"/>
        <v>November</v>
      </c>
      <c r="P87">
        <f t="shared" si="4"/>
        <v>11</v>
      </c>
      <c r="Q87">
        <f t="shared" si="5"/>
        <v>2023</v>
      </c>
    </row>
    <row r="88" spans="1:17" x14ac:dyDescent="0.25">
      <c r="A88">
        <v>1014</v>
      </c>
      <c r="B88" s="1">
        <v>45027</v>
      </c>
      <c r="C88" t="s">
        <v>42</v>
      </c>
      <c r="D88" t="s">
        <v>25</v>
      </c>
      <c r="E88" s="4">
        <v>9582.1200000000008</v>
      </c>
      <c r="F88" s="2">
        <v>38</v>
      </c>
      <c r="G88" t="s">
        <v>26</v>
      </c>
      <c r="H88">
        <v>2091.21</v>
      </c>
      <c r="I88">
        <v>2527</v>
      </c>
      <c r="J88" t="s">
        <v>17</v>
      </c>
      <c r="K88" s="5">
        <v>0.01</v>
      </c>
      <c r="L88" t="s">
        <v>31</v>
      </c>
      <c r="M88" t="s">
        <v>19</v>
      </c>
      <c r="N88" t="s">
        <v>43</v>
      </c>
      <c r="O88" t="str">
        <f t="shared" si="3"/>
        <v>April</v>
      </c>
      <c r="P88">
        <f t="shared" si="4"/>
        <v>4</v>
      </c>
      <c r="Q88">
        <f t="shared" si="5"/>
        <v>2023</v>
      </c>
    </row>
    <row r="89" spans="1:17" x14ac:dyDescent="0.25">
      <c r="A89">
        <v>1095</v>
      </c>
      <c r="B89" s="1">
        <v>45255</v>
      </c>
      <c r="C89" t="s">
        <v>42</v>
      </c>
      <c r="D89" t="s">
        <v>34</v>
      </c>
      <c r="E89" s="4">
        <v>9432.9699999999993</v>
      </c>
      <c r="F89" s="2">
        <v>37</v>
      </c>
      <c r="G89" t="s">
        <v>35</v>
      </c>
      <c r="H89">
        <v>407.77</v>
      </c>
      <c r="I89">
        <v>860.95</v>
      </c>
      <c r="J89" t="s">
        <v>30</v>
      </c>
      <c r="K89" s="5">
        <v>0.1</v>
      </c>
      <c r="L89" t="s">
        <v>31</v>
      </c>
      <c r="M89" t="s">
        <v>22</v>
      </c>
      <c r="N89" t="s">
        <v>52</v>
      </c>
      <c r="O89" t="str">
        <f t="shared" si="3"/>
        <v>November</v>
      </c>
      <c r="P89">
        <f t="shared" si="4"/>
        <v>11</v>
      </c>
      <c r="Q89">
        <f t="shared" si="5"/>
        <v>2023</v>
      </c>
    </row>
    <row r="90" spans="1:17" x14ac:dyDescent="0.25">
      <c r="A90">
        <v>1048</v>
      </c>
      <c r="B90" s="1">
        <v>45199</v>
      </c>
      <c r="C90" t="s">
        <v>33</v>
      </c>
      <c r="D90" t="s">
        <v>15</v>
      </c>
      <c r="E90" s="4">
        <v>7873.38</v>
      </c>
      <c r="F90" s="2">
        <v>4</v>
      </c>
      <c r="G90" t="s">
        <v>16</v>
      </c>
      <c r="H90">
        <v>2900.14</v>
      </c>
      <c r="I90">
        <v>2910.5099999999902</v>
      </c>
      <c r="J90" t="s">
        <v>30</v>
      </c>
      <c r="K90" s="5">
        <v>0.22</v>
      </c>
      <c r="L90" t="s">
        <v>31</v>
      </c>
      <c r="M90" t="s">
        <v>22</v>
      </c>
      <c r="N90" t="s">
        <v>53</v>
      </c>
      <c r="O90" t="str">
        <f t="shared" si="3"/>
        <v>September</v>
      </c>
      <c r="P90">
        <f t="shared" si="4"/>
        <v>9</v>
      </c>
      <c r="Q90">
        <f t="shared" si="5"/>
        <v>2023</v>
      </c>
    </row>
    <row r="91" spans="1:17" x14ac:dyDescent="0.25">
      <c r="A91">
        <v>1015</v>
      </c>
      <c r="B91" s="1">
        <v>45191</v>
      </c>
      <c r="C91" t="s">
        <v>24</v>
      </c>
      <c r="D91" t="s">
        <v>25</v>
      </c>
      <c r="E91" s="4">
        <v>9914.15</v>
      </c>
      <c r="F91" s="2">
        <v>22</v>
      </c>
      <c r="G91" t="s">
        <v>35</v>
      </c>
      <c r="H91">
        <v>4275.59</v>
      </c>
      <c r="I91">
        <v>4576.72</v>
      </c>
      <c r="J91" t="s">
        <v>17</v>
      </c>
      <c r="K91" s="5">
        <v>0.02</v>
      </c>
      <c r="L91" t="s">
        <v>18</v>
      </c>
      <c r="M91" t="s">
        <v>22</v>
      </c>
      <c r="N91" t="s">
        <v>28</v>
      </c>
      <c r="O91" t="str">
        <f t="shared" si="3"/>
        <v>September</v>
      </c>
      <c r="P91">
        <f t="shared" si="4"/>
        <v>9</v>
      </c>
      <c r="Q91">
        <f t="shared" si="5"/>
        <v>2023</v>
      </c>
    </row>
    <row r="92" spans="1:17" x14ac:dyDescent="0.25">
      <c r="A92">
        <v>1072</v>
      </c>
      <c r="B92" s="1">
        <v>44964</v>
      </c>
      <c r="C92" t="s">
        <v>14</v>
      </c>
      <c r="D92" t="s">
        <v>34</v>
      </c>
      <c r="E92" s="4">
        <v>5490.38</v>
      </c>
      <c r="F92" s="2">
        <v>26</v>
      </c>
      <c r="G92" t="s">
        <v>26</v>
      </c>
      <c r="H92">
        <v>3640.17</v>
      </c>
      <c r="I92">
        <v>4002.63</v>
      </c>
      <c r="J92" t="s">
        <v>30</v>
      </c>
      <c r="K92" s="5">
        <v>0.05</v>
      </c>
      <c r="L92" t="s">
        <v>31</v>
      </c>
      <c r="M92" t="s">
        <v>22</v>
      </c>
      <c r="N92" t="s">
        <v>46</v>
      </c>
      <c r="O92" t="str">
        <f t="shared" si="3"/>
        <v>February</v>
      </c>
      <c r="P92">
        <f t="shared" si="4"/>
        <v>2</v>
      </c>
      <c r="Q92">
        <f t="shared" si="5"/>
        <v>2023</v>
      </c>
    </row>
    <row r="93" spans="1:17" x14ac:dyDescent="0.25">
      <c r="A93">
        <v>1078</v>
      </c>
      <c r="B93" s="1">
        <v>45020</v>
      </c>
      <c r="C93" t="s">
        <v>24</v>
      </c>
      <c r="D93" t="s">
        <v>34</v>
      </c>
      <c r="E93" s="4">
        <v>9631.41</v>
      </c>
      <c r="F93" s="2">
        <v>49</v>
      </c>
      <c r="G93" t="s">
        <v>16</v>
      </c>
      <c r="H93">
        <v>1833.95</v>
      </c>
      <c r="I93">
        <v>2147.14</v>
      </c>
      <c r="J93" t="s">
        <v>17</v>
      </c>
      <c r="K93" s="5">
        <v>0.18</v>
      </c>
      <c r="L93" t="s">
        <v>31</v>
      </c>
      <c r="M93" t="s">
        <v>22</v>
      </c>
      <c r="N93" t="s">
        <v>50</v>
      </c>
      <c r="O93" t="str">
        <f t="shared" si="3"/>
        <v>April</v>
      </c>
      <c r="P93">
        <f t="shared" si="4"/>
        <v>4</v>
      </c>
      <c r="Q93">
        <f t="shared" si="5"/>
        <v>2023</v>
      </c>
    </row>
    <row r="94" spans="1:17" x14ac:dyDescent="0.25">
      <c r="A94">
        <v>1087</v>
      </c>
      <c r="B94" s="1">
        <v>45021</v>
      </c>
      <c r="C94" t="s">
        <v>38</v>
      </c>
      <c r="D94" t="s">
        <v>34</v>
      </c>
      <c r="E94" s="4">
        <v>848.49</v>
      </c>
      <c r="F94" s="2">
        <v>43</v>
      </c>
      <c r="G94" t="s">
        <v>16</v>
      </c>
      <c r="H94">
        <v>481</v>
      </c>
      <c r="I94">
        <v>531.02</v>
      </c>
      <c r="J94" t="s">
        <v>30</v>
      </c>
      <c r="K94" s="5">
        <v>0.17</v>
      </c>
      <c r="L94" t="s">
        <v>18</v>
      </c>
      <c r="M94" t="s">
        <v>19</v>
      </c>
      <c r="N94" t="s">
        <v>48</v>
      </c>
      <c r="O94" t="str">
        <f t="shared" si="3"/>
        <v>April</v>
      </c>
      <c r="P94">
        <f t="shared" si="4"/>
        <v>4</v>
      </c>
      <c r="Q94">
        <f t="shared" si="5"/>
        <v>2023</v>
      </c>
    </row>
    <row r="95" spans="1:17" x14ac:dyDescent="0.25">
      <c r="A95">
        <v>1062</v>
      </c>
      <c r="B95" s="1">
        <v>45231</v>
      </c>
      <c r="C95" t="s">
        <v>14</v>
      </c>
      <c r="D95" t="s">
        <v>34</v>
      </c>
      <c r="E95" s="4">
        <v>3720.24</v>
      </c>
      <c r="F95" s="2">
        <v>36</v>
      </c>
      <c r="G95" t="s">
        <v>26</v>
      </c>
      <c r="H95">
        <v>1050.6400000000001</v>
      </c>
      <c r="I95">
        <v>1167.33</v>
      </c>
      <c r="J95" t="s">
        <v>30</v>
      </c>
      <c r="K95" s="5">
        <v>0.22</v>
      </c>
      <c r="L95" t="s">
        <v>18</v>
      </c>
      <c r="M95" t="s">
        <v>19</v>
      </c>
      <c r="N95" t="s">
        <v>46</v>
      </c>
      <c r="O95" t="str">
        <f t="shared" si="3"/>
        <v>November</v>
      </c>
      <c r="P95">
        <f t="shared" si="4"/>
        <v>11</v>
      </c>
      <c r="Q95">
        <f t="shared" si="5"/>
        <v>2023</v>
      </c>
    </row>
    <row r="96" spans="1:17" x14ac:dyDescent="0.25">
      <c r="A96">
        <v>1040</v>
      </c>
      <c r="B96" s="1">
        <v>44995</v>
      </c>
      <c r="C96" t="s">
        <v>33</v>
      </c>
      <c r="D96" t="s">
        <v>34</v>
      </c>
      <c r="E96" s="4">
        <v>2331.27</v>
      </c>
      <c r="F96" s="2">
        <v>13</v>
      </c>
      <c r="G96" t="s">
        <v>29</v>
      </c>
      <c r="H96">
        <v>2750.18</v>
      </c>
      <c r="I96">
        <v>2882.85</v>
      </c>
      <c r="J96" t="s">
        <v>17</v>
      </c>
      <c r="K96" s="5">
        <v>0.24</v>
      </c>
      <c r="L96" t="s">
        <v>31</v>
      </c>
      <c r="M96" t="s">
        <v>19</v>
      </c>
      <c r="N96" t="s">
        <v>36</v>
      </c>
      <c r="O96" t="str">
        <f t="shared" si="3"/>
        <v>March</v>
      </c>
      <c r="P96">
        <f t="shared" si="4"/>
        <v>3</v>
      </c>
      <c r="Q96">
        <f t="shared" si="5"/>
        <v>2023</v>
      </c>
    </row>
    <row r="97" spans="1:17" x14ac:dyDescent="0.25">
      <c r="A97">
        <v>1085</v>
      </c>
      <c r="B97" s="1">
        <v>45244</v>
      </c>
      <c r="C97" t="s">
        <v>33</v>
      </c>
      <c r="D97" t="s">
        <v>25</v>
      </c>
      <c r="E97" s="4">
        <v>2038.75</v>
      </c>
      <c r="F97" s="2">
        <v>32</v>
      </c>
      <c r="G97" t="s">
        <v>16</v>
      </c>
      <c r="H97">
        <v>1074.93</v>
      </c>
      <c r="I97">
        <v>1492.48</v>
      </c>
      <c r="J97" t="s">
        <v>17</v>
      </c>
      <c r="K97" s="5">
        <v>0.04</v>
      </c>
      <c r="L97" t="s">
        <v>31</v>
      </c>
      <c r="M97" t="s">
        <v>22</v>
      </c>
      <c r="N97" t="s">
        <v>44</v>
      </c>
      <c r="O97" t="str">
        <f t="shared" si="3"/>
        <v>November</v>
      </c>
      <c r="P97">
        <f t="shared" si="4"/>
        <v>11</v>
      </c>
      <c r="Q97">
        <f t="shared" si="5"/>
        <v>2023</v>
      </c>
    </row>
    <row r="98" spans="1:17" x14ac:dyDescent="0.25">
      <c r="A98">
        <v>1080</v>
      </c>
      <c r="B98" s="1">
        <v>45162</v>
      </c>
      <c r="C98" t="s">
        <v>14</v>
      </c>
      <c r="D98" t="s">
        <v>21</v>
      </c>
      <c r="E98" s="4">
        <v>1493.95</v>
      </c>
      <c r="F98" s="2">
        <v>17</v>
      </c>
      <c r="G98" t="s">
        <v>16</v>
      </c>
      <c r="H98">
        <v>2742.67</v>
      </c>
      <c r="I98">
        <v>2979.64</v>
      </c>
      <c r="J98" t="s">
        <v>17</v>
      </c>
      <c r="K98" s="5">
        <v>0.01</v>
      </c>
      <c r="L98" t="s">
        <v>18</v>
      </c>
      <c r="M98" t="s">
        <v>22</v>
      </c>
      <c r="N98" t="s">
        <v>23</v>
      </c>
      <c r="O98" t="str">
        <f t="shared" si="3"/>
        <v>August</v>
      </c>
      <c r="P98">
        <f t="shared" si="4"/>
        <v>8</v>
      </c>
      <c r="Q98">
        <f t="shared" si="5"/>
        <v>2023</v>
      </c>
    </row>
    <row r="99" spans="1:17" x14ac:dyDescent="0.25">
      <c r="A99">
        <v>1082</v>
      </c>
      <c r="B99" s="1">
        <v>45260</v>
      </c>
      <c r="C99" t="s">
        <v>42</v>
      </c>
      <c r="D99" t="s">
        <v>25</v>
      </c>
      <c r="E99" s="4">
        <v>6261.9</v>
      </c>
      <c r="F99" s="2">
        <v>41</v>
      </c>
      <c r="G99" t="s">
        <v>35</v>
      </c>
      <c r="H99">
        <v>1196.42</v>
      </c>
      <c r="I99">
        <v>1444.97</v>
      </c>
      <c r="J99" t="s">
        <v>17</v>
      </c>
      <c r="K99" s="5">
        <v>0.21</v>
      </c>
      <c r="L99" t="s">
        <v>27</v>
      </c>
      <c r="M99" t="s">
        <v>19</v>
      </c>
      <c r="N99" t="s">
        <v>43</v>
      </c>
      <c r="O99" t="str">
        <f t="shared" si="3"/>
        <v>November</v>
      </c>
      <c r="P99">
        <f t="shared" si="4"/>
        <v>11</v>
      </c>
      <c r="Q99">
        <f t="shared" si="5"/>
        <v>2023</v>
      </c>
    </row>
    <row r="100" spans="1:17" x14ac:dyDescent="0.25">
      <c r="A100">
        <v>1053</v>
      </c>
      <c r="B100" s="1">
        <v>45063</v>
      </c>
      <c r="C100" t="s">
        <v>14</v>
      </c>
      <c r="D100" t="s">
        <v>25</v>
      </c>
      <c r="E100" s="4">
        <v>7835.09</v>
      </c>
      <c r="F100" s="2">
        <v>36</v>
      </c>
      <c r="G100" t="s">
        <v>29</v>
      </c>
      <c r="H100">
        <v>4252.17</v>
      </c>
      <c r="I100">
        <v>4720.2700000000004</v>
      </c>
      <c r="J100" t="s">
        <v>30</v>
      </c>
      <c r="K100" s="5">
        <v>0.09</v>
      </c>
      <c r="L100" t="s">
        <v>18</v>
      </c>
      <c r="M100" t="s">
        <v>22</v>
      </c>
      <c r="N100" t="s">
        <v>32</v>
      </c>
      <c r="O100" t="str">
        <f t="shared" si="3"/>
        <v>May</v>
      </c>
      <c r="P100">
        <f t="shared" si="4"/>
        <v>5</v>
      </c>
      <c r="Q100">
        <f t="shared" si="5"/>
        <v>2023</v>
      </c>
    </row>
    <row r="101" spans="1:17" x14ac:dyDescent="0.25">
      <c r="A101">
        <v>1024</v>
      </c>
      <c r="B101" s="1">
        <v>45002</v>
      </c>
      <c r="C101" t="s">
        <v>38</v>
      </c>
      <c r="D101" t="s">
        <v>25</v>
      </c>
      <c r="E101" s="4">
        <v>5825.15</v>
      </c>
      <c r="F101" s="2">
        <v>46</v>
      </c>
      <c r="G101" t="s">
        <v>35</v>
      </c>
      <c r="H101">
        <v>2016.49</v>
      </c>
      <c r="I101">
        <v>2338.66</v>
      </c>
      <c r="J101" t="s">
        <v>17</v>
      </c>
      <c r="K101" s="5">
        <v>0.19</v>
      </c>
      <c r="L101" t="s">
        <v>27</v>
      </c>
      <c r="M101" t="s">
        <v>22</v>
      </c>
      <c r="N101" t="s">
        <v>39</v>
      </c>
      <c r="O101" t="str">
        <f t="shared" si="3"/>
        <v>March</v>
      </c>
      <c r="P101">
        <f t="shared" si="4"/>
        <v>3</v>
      </c>
      <c r="Q101">
        <f t="shared" si="5"/>
        <v>2023</v>
      </c>
    </row>
    <row r="102" spans="1:17" x14ac:dyDescent="0.25">
      <c r="A102">
        <v>1026</v>
      </c>
      <c r="B102" s="1">
        <v>44961</v>
      </c>
      <c r="C102" t="s">
        <v>42</v>
      </c>
      <c r="D102" t="s">
        <v>21</v>
      </c>
      <c r="E102" s="4">
        <v>1554.93</v>
      </c>
      <c r="F102" s="2">
        <v>19</v>
      </c>
      <c r="G102" t="s">
        <v>35</v>
      </c>
      <c r="H102">
        <v>1265.48</v>
      </c>
      <c r="I102">
        <v>1715.83</v>
      </c>
      <c r="J102" t="s">
        <v>30</v>
      </c>
      <c r="K102" s="5">
        <v>0.05</v>
      </c>
      <c r="L102" t="s">
        <v>31</v>
      </c>
      <c r="M102" t="s">
        <v>22</v>
      </c>
      <c r="N102" t="s">
        <v>51</v>
      </c>
      <c r="O102" t="str">
        <f t="shared" si="3"/>
        <v>February</v>
      </c>
      <c r="P102">
        <f t="shared" si="4"/>
        <v>2</v>
      </c>
      <c r="Q102">
        <f t="shared" si="5"/>
        <v>2023</v>
      </c>
    </row>
    <row r="103" spans="1:17" x14ac:dyDescent="0.25">
      <c r="A103">
        <v>1089</v>
      </c>
      <c r="B103" s="1">
        <v>44927</v>
      </c>
      <c r="C103" t="s">
        <v>33</v>
      </c>
      <c r="D103" t="s">
        <v>15</v>
      </c>
      <c r="E103" s="4">
        <v>8130.13</v>
      </c>
      <c r="F103" s="2">
        <v>35</v>
      </c>
      <c r="G103" t="s">
        <v>29</v>
      </c>
      <c r="H103">
        <v>4071.01</v>
      </c>
      <c r="I103">
        <v>4304.7</v>
      </c>
      <c r="J103" t="s">
        <v>30</v>
      </c>
      <c r="K103" s="5">
        <v>0.14000000000000001</v>
      </c>
      <c r="L103" t="s">
        <v>31</v>
      </c>
      <c r="M103" t="s">
        <v>19</v>
      </c>
      <c r="N103" t="s">
        <v>53</v>
      </c>
      <c r="O103" t="str">
        <f t="shared" si="3"/>
        <v>January</v>
      </c>
      <c r="P103">
        <f t="shared" si="4"/>
        <v>1</v>
      </c>
      <c r="Q103">
        <f t="shared" si="5"/>
        <v>2023</v>
      </c>
    </row>
    <row r="104" spans="1:17" x14ac:dyDescent="0.25">
      <c r="A104">
        <v>1060</v>
      </c>
      <c r="B104" s="1">
        <v>45222</v>
      </c>
      <c r="C104" t="s">
        <v>14</v>
      </c>
      <c r="D104" t="s">
        <v>21</v>
      </c>
      <c r="E104" s="4">
        <v>6395.95</v>
      </c>
      <c r="F104" s="2">
        <v>46</v>
      </c>
      <c r="G104" t="s">
        <v>29</v>
      </c>
      <c r="H104">
        <v>1747.05</v>
      </c>
      <c r="I104">
        <v>1830.27</v>
      </c>
      <c r="J104" t="s">
        <v>30</v>
      </c>
      <c r="K104" s="5">
        <v>0.15</v>
      </c>
      <c r="L104" t="s">
        <v>27</v>
      </c>
      <c r="M104" t="s">
        <v>22</v>
      </c>
      <c r="N104" t="s">
        <v>23</v>
      </c>
      <c r="O104" t="str">
        <f t="shared" si="3"/>
        <v>October</v>
      </c>
      <c r="P104">
        <f t="shared" si="4"/>
        <v>10</v>
      </c>
      <c r="Q104">
        <f t="shared" si="5"/>
        <v>2023</v>
      </c>
    </row>
    <row r="105" spans="1:17" x14ac:dyDescent="0.25">
      <c r="A105">
        <v>1041</v>
      </c>
      <c r="B105" s="1">
        <v>45246</v>
      </c>
      <c r="C105" t="s">
        <v>24</v>
      </c>
      <c r="D105" t="s">
        <v>25</v>
      </c>
      <c r="E105" s="4">
        <v>3942.84</v>
      </c>
      <c r="F105" s="2">
        <v>40</v>
      </c>
      <c r="G105" t="s">
        <v>26</v>
      </c>
      <c r="H105">
        <v>601.86</v>
      </c>
      <c r="I105">
        <v>1067.53</v>
      </c>
      <c r="J105" t="s">
        <v>30</v>
      </c>
      <c r="K105" s="5">
        <v>0.18</v>
      </c>
      <c r="L105" t="s">
        <v>18</v>
      </c>
      <c r="M105" t="s">
        <v>19</v>
      </c>
      <c r="N105" t="s">
        <v>28</v>
      </c>
      <c r="O105" t="str">
        <f t="shared" si="3"/>
        <v>November</v>
      </c>
      <c r="P105">
        <f t="shared" si="4"/>
        <v>11</v>
      </c>
      <c r="Q105">
        <f t="shared" si="5"/>
        <v>2023</v>
      </c>
    </row>
    <row r="106" spans="1:17" x14ac:dyDescent="0.25">
      <c r="A106">
        <v>1029</v>
      </c>
      <c r="B106" s="1">
        <v>44986</v>
      </c>
      <c r="C106" t="s">
        <v>24</v>
      </c>
      <c r="D106" t="s">
        <v>34</v>
      </c>
      <c r="E106" s="4">
        <v>6773.89</v>
      </c>
      <c r="F106" s="2">
        <v>28</v>
      </c>
      <c r="G106" t="s">
        <v>29</v>
      </c>
      <c r="H106">
        <v>2873.53</v>
      </c>
      <c r="I106">
        <v>3108.3</v>
      </c>
      <c r="J106" t="s">
        <v>30</v>
      </c>
      <c r="K106" s="5">
        <v>0.15</v>
      </c>
      <c r="L106" t="s">
        <v>31</v>
      </c>
      <c r="M106" t="s">
        <v>22</v>
      </c>
      <c r="N106" t="s">
        <v>50</v>
      </c>
      <c r="O106" t="str">
        <f t="shared" si="3"/>
        <v>March</v>
      </c>
      <c r="P106">
        <f t="shared" si="4"/>
        <v>3</v>
      </c>
      <c r="Q106">
        <f t="shared" si="5"/>
        <v>2023</v>
      </c>
    </row>
    <row r="107" spans="1:17" x14ac:dyDescent="0.25">
      <c r="A107">
        <v>1015</v>
      </c>
      <c r="B107" s="1">
        <v>45246</v>
      </c>
      <c r="C107" t="s">
        <v>38</v>
      </c>
      <c r="D107" t="s">
        <v>34</v>
      </c>
      <c r="E107" s="4">
        <v>2673.06</v>
      </c>
      <c r="F107" s="2">
        <v>1</v>
      </c>
      <c r="G107" t="s">
        <v>16</v>
      </c>
      <c r="H107">
        <v>2928.74</v>
      </c>
      <c r="I107">
        <v>3027.74</v>
      </c>
      <c r="J107" t="s">
        <v>30</v>
      </c>
      <c r="K107" s="5">
        <v>0.15</v>
      </c>
      <c r="L107" t="s">
        <v>27</v>
      </c>
      <c r="M107" t="s">
        <v>22</v>
      </c>
      <c r="N107" t="s">
        <v>48</v>
      </c>
      <c r="O107" t="str">
        <f t="shared" si="3"/>
        <v>November</v>
      </c>
      <c r="P107">
        <f t="shared" si="4"/>
        <v>11</v>
      </c>
      <c r="Q107">
        <f t="shared" si="5"/>
        <v>2023</v>
      </c>
    </row>
    <row r="108" spans="1:17" x14ac:dyDescent="0.25">
      <c r="A108">
        <v>1045</v>
      </c>
      <c r="B108" s="1">
        <v>45275</v>
      </c>
      <c r="C108" t="s">
        <v>24</v>
      </c>
      <c r="D108" t="s">
        <v>25</v>
      </c>
      <c r="E108" s="4">
        <v>3517.4</v>
      </c>
      <c r="F108" s="2">
        <v>42</v>
      </c>
      <c r="G108" t="s">
        <v>29</v>
      </c>
      <c r="H108">
        <v>3587.74</v>
      </c>
      <c r="I108">
        <v>3745.91</v>
      </c>
      <c r="J108" t="s">
        <v>17</v>
      </c>
      <c r="K108" s="5">
        <v>0.1</v>
      </c>
      <c r="L108" t="s">
        <v>18</v>
      </c>
      <c r="M108" t="s">
        <v>19</v>
      </c>
      <c r="N108" t="s">
        <v>28</v>
      </c>
      <c r="O108" t="str">
        <f t="shared" si="3"/>
        <v>December</v>
      </c>
      <c r="P108">
        <f t="shared" si="4"/>
        <v>12</v>
      </c>
      <c r="Q108">
        <f t="shared" si="5"/>
        <v>2023</v>
      </c>
    </row>
    <row r="109" spans="1:17" x14ac:dyDescent="0.25">
      <c r="A109">
        <v>1065</v>
      </c>
      <c r="B109" s="1">
        <v>45254</v>
      </c>
      <c r="C109" t="s">
        <v>14</v>
      </c>
      <c r="D109" t="s">
        <v>34</v>
      </c>
      <c r="E109" s="4">
        <v>9183.11</v>
      </c>
      <c r="F109" s="2">
        <v>18</v>
      </c>
      <c r="G109" t="s">
        <v>26</v>
      </c>
      <c r="H109">
        <v>1239.0899999999999</v>
      </c>
      <c r="I109">
        <v>1273.98</v>
      </c>
      <c r="J109" t="s">
        <v>30</v>
      </c>
      <c r="K109" s="5">
        <v>0.02</v>
      </c>
      <c r="L109" t="s">
        <v>27</v>
      </c>
      <c r="M109" t="s">
        <v>22</v>
      </c>
      <c r="N109" t="s">
        <v>46</v>
      </c>
      <c r="O109" t="str">
        <f t="shared" si="3"/>
        <v>November</v>
      </c>
      <c r="P109">
        <f t="shared" si="4"/>
        <v>11</v>
      </c>
      <c r="Q109">
        <f t="shared" si="5"/>
        <v>2023</v>
      </c>
    </row>
    <row r="110" spans="1:17" x14ac:dyDescent="0.25">
      <c r="A110">
        <v>1089</v>
      </c>
      <c r="B110" s="1">
        <v>45193</v>
      </c>
      <c r="C110" t="s">
        <v>14</v>
      </c>
      <c r="D110" t="s">
        <v>25</v>
      </c>
      <c r="E110" s="4">
        <v>2975.99</v>
      </c>
      <c r="F110" s="2">
        <v>48</v>
      </c>
      <c r="G110" t="s">
        <v>26</v>
      </c>
      <c r="H110">
        <v>2246.67</v>
      </c>
      <c r="I110">
        <v>2486.14</v>
      </c>
      <c r="J110" t="s">
        <v>30</v>
      </c>
      <c r="K110" s="5">
        <v>0.03</v>
      </c>
      <c r="L110" t="s">
        <v>18</v>
      </c>
      <c r="M110" t="s">
        <v>22</v>
      </c>
      <c r="N110" t="s">
        <v>32</v>
      </c>
      <c r="O110" t="str">
        <f t="shared" si="3"/>
        <v>September</v>
      </c>
      <c r="P110">
        <f t="shared" si="4"/>
        <v>9</v>
      </c>
      <c r="Q110">
        <f t="shared" si="5"/>
        <v>2023</v>
      </c>
    </row>
    <row r="111" spans="1:17" x14ac:dyDescent="0.25">
      <c r="A111">
        <v>1071</v>
      </c>
      <c r="B111" s="1">
        <v>45287</v>
      </c>
      <c r="C111" t="s">
        <v>24</v>
      </c>
      <c r="D111" t="s">
        <v>34</v>
      </c>
      <c r="E111" s="4">
        <v>4752.88</v>
      </c>
      <c r="F111" s="2">
        <v>40</v>
      </c>
      <c r="G111" t="s">
        <v>26</v>
      </c>
      <c r="H111">
        <v>1447.72</v>
      </c>
      <c r="I111">
        <v>1875.75</v>
      </c>
      <c r="J111" t="s">
        <v>30</v>
      </c>
      <c r="K111" s="5">
        <v>0.13</v>
      </c>
      <c r="L111" t="s">
        <v>18</v>
      </c>
      <c r="M111" t="s">
        <v>22</v>
      </c>
      <c r="N111" t="s">
        <v>50</v>
      </c>
      <c r="O111" t="str">
        <f t="shared" si="3"/>
        <v>December</v>
      </c>
      <c r="P111">
        <f t="shared" si="4"/>
        <v>12</v>
      </c>
      <c r="Q111">
        <f t="shared" si="5"/>
        <v>2023</v>
      </c>
    </row>
    <row r="112" spans="1:17" x14ac:dyDescent="0.25">
      <c r="A112">
        <v>1009</v>
      </c>
      <c r="B112" s="1">
        <v>45155</v>
      </c>
      <c r="C112" t="s">
        <v>14</v>
      </c>
      <c r="D112" t="s">
        <v>21</v>
      </c>
      <c r="E112" s="4">
        <v>8912.4</v>
      </c>
      <c r="F112" s="2">
        <v>33</v>
      </c>
      <c r="G112" t="s">
        <v>29</v>
      </c>
      <c r="H112">
        <v>450.72</v>
      </c>
      <c r="I112">
        <v>918.17</v>
      </c>
      <c r="J112" t="s">
        <v>17</v>
      </c>
      <c r="K112" s="5">
        <v>0.11</v>
      </c>
      <c r="L112" t="s">
        <v>18</v>
      </c>
      <c r="M112" t="s">
        <v>19</v>
      </c>
      <c r="N112" t="s">
        <v>23</v>
      </c>
      <c r="O112" t="str">
        <f t="shared" si="3"/>
        <v>August</v>
      </c>
      <c r="P112">
        <f t="shared" si="4"/>
        <v>8</v>
      </c>
      <c r="Q112">
        <f t="shared" si="5"/>
        <v>2023</v>
      </c>
    </row>
    <row r="113" spans="1:17" x14ac:dyDescent="0.25">
      <c r="A113">
        <v>1088</v>
      </c>
      <c r="B113" s="1">
        <v>45196</v>
      </c>
      <c r="C113" t="s">
        <v>38</v>
      </c>
      <c r="D113" t="s">
        <v>15</v>
      </c>
      <c r="E113" s="4">
        <v>7106.44</v>
      </c>
      <c r="F113" s="2">
        <v>12</v>
      </c>
      <c r="G113" t="s">
        <v>29</v>
      </c>
      <c r="H113">
        <v>4389.24</v>
      </c>
      <c r="I113">
        <v>4856.2199999999903</v>
      </c>
      <c r="J113" t="s">
        <v>17</v>
      </c>
      <c r="K113" s="5">
        <v>0.15</v>
      </c>
      <c r="L113" t="s">
        <v>18</v>
      </c>
      <c r="M113" t="s">
        <v>22</v>
      </c>
      <c r="N113" t="s">
        <v>40</v>
      </c>
      <c r="O113" t="str">
        <f t="shared" si="3"/>
        <v>September</v>
      </c>
      <c r="P113">
        <f t="shared" si="4"/>
        <v>9</v>
      </c>
      <c r="Q113">
        <f t="shared" si="5"/>
        <v>2023</v>
      </c>
    </row>
    <row r="114" spans="1:17" x14ac:dyDescent="0.25">
      <c r="A114">
        <v>1001</v>
      </c>
      <c r="B114" s="1">
        <v>45242</v>
      </c>
      <c r="C114" t="s">
        <v>42</v>
      </c>
      <c r="D114" t="s">
        <v>15</v>
      </c>
      <c r="E114" s="4">
        <v>715.81</v>
      </c>
      <c r="F114" s="2">
        <v>8</v>
      </c>
      <c r="G114" t="s">
        <v>35</v>
      </c>
      <c r="H114">
        <v>3657.91</v>
      </c>
      <c r="I114">
        <v>3729.27</v>
      </c>
      <c r="J114" t="s">
        <v>30</v>
      </c>
      <c r="K114" s="5">
        <v>0.09</v>
      </c>
      <c r="L114" t="s">
        <v>27</v>
      </c>
      <c r="M114" t="s">
        <v>22</v>
      </c>
      <c r="N114" t="s">
        <v>49</v>
      </c>
      <c r="O114" t="str">
        <f t="shared" si="3"/>
        <v>November</v>
      </c>
      <c r="P114">
        <f t="shared" si="4"/>
        <v>11</v>
      </c>
      <c r="Q114">
        <f t="shared" si="5"/>
        <v>2023</v>
      </c>
    </row>
    <row r="115" spans="1:17" x14ac:dyDescent="0.25">
      <c r="A115">
        <v>1008</v>
      </c>
      <c r="B115" s="1">
        <v>45212</v>
      </c>
      <c r="C115" t="s">
        <v>38</v>
      </c>
      <c r="D115" t="s">
        <v>21</v>
      </c>
      <c r="E115" s="4">
        <v>1558.3</v>
      </c>
      <c r="F115" s="2">
        <v>24</v>
      </c>
      <c r="G115" t="s">
        <v>35</v>
      </c>
      <c r="H115">
        <v>1542.24</v>
      </c>
      <c r="I115">
        <v>1739.45</v>
      </c>
      <c r="J115" t="s">
        <v>17</v>
      </c>
      <c r="K115" s="5">
        <v>0.21</v>
      </c>
      <c r="L115" t="s">
        <v>27</v>
      </c>
      <c r="M115" t="s">
        <v>22</v>
      </c>
      <c r="N115" t="s">
        <v>41</v>
      </c>
      <c r="O115" t="str">
        <f t="shared" si="3"/>
        <v>October</v>
      </c>
      <c r="P115">
        <f t="shared" si="4"/>
        <v>10</v>
      </c>
      <c r="Q115">
        <f t="shared" si="5"/>
        <v>2023</v>
      </c>
    </row>
    <row r="116" spans="1:17" x14ac:dyDescent="0.25">
      <c r="A116">
        <v>1088</v>
      </c>
      <c r="B116" s="1">
        <v>45217</v>
      </c>
      <c r="C116" t="s">
        <v>38</v>
      </c>
      <c r="D116" t="s">
        <v>21</v>
      </c>
      <c r="E116" s="4">
        <v>177.63</v>
      </c>
      <c r="F116" s="2">
        <v>16</v>
      </c>
      <c r="G116" t="s">
        <v>16</v>
      </c>
      <c r="H116">
        <v>3016.9</v>
      </c>
      <c r="I116">
        <v>3040.73</v>
      </c>
      <c r="J116" t="s">
        <v>30</v>
      </c>
      <c r="K116" s="5">
        <v>0.26</v>
      </c>
      <c r="L116" t="s">
        <v>27</v>
      </c>
      <c r="M116" t="s">
        <v>22</v>
      </c>
      <c r="N116" t="s">
        <v>41</v>
      </c>
      <c r="O116" t="str">
        <f t="shared" si="3"/>
        <v>October</v>
      </c>
      <c r="P116">
        <f t="shared" si="4"/>
        <v>10</v>
      </c>
      <c r="Q116">
        <f t="shared" si="5"/>
        <v>2023</v>
      </c>
    </row>
    <row r="117" spans="1:17" x14ac:dyDescent="0.25">
      <c r="A117">
        <v>1063</v>
      </c>
      <c r="B117" s="1">
        <v>45139</v>
      </c>
      <c r="C117" t="s">
        <v>14</v>
      </c>
      <c r="D117" t="s">
        <v>25</v>
      </c>
      <c r="E117" s="4">
        <v>6346.13</v>
      </c>
      <c r="F117" s="2">
        <v>4</v>
      </c>
      <c r="G117" t="s">
        <v>35</v>
      </c>
      <c r="H117">
        <v>1046.26</v>
      </c>
      <c r="I117">
        <v>1475.29</v>
      </c>
      <c r="J117" t="s">
        <v>17</v>
      </c>
      <c r="K117" s="5">
        <v>0.09</v>
      </c>
      <c r="L117" t="s">
        <v>27</v>
      </c>
      <c r="M117" t="s">
        <v>22</v>
      </c>
      <c r="N117" t="s">
        <v>32</v>
      </c>
      <c r="O117" t="str">
        <f t="shared" si="3"/>
        <v>August</v>
      </c>
      <c r="P117">
        <f t="shared" si="4"/>
        <v>8</v>
      </c>
      <c r="Q117">
        <f t="shared" si="5"/>
        <v>2023</v>
      </c>
    </row>
    <row r="118" spans="1:17" x14ac:dyDescent="0.25">
      <c r="A118">
        <v>1011</v>
      </c>
      <c r="B118" s="1">
        <v>45091</v>
      </c>
      <c r="C118" t="s">
        <v>42</v>
      </c>
      <c r="D118" t="s">
        <v>25</v>
      </c>
      <c r="E118" s="4">
        <v>4531.97</v>
      </c>
      <c r="F118" s="2">
        <v>38</v>
      </c>
      <c r="G118" t="s">
        <v>16</v>
      </c>
      <c r="H118">
        <v>4456.67</v>
      </c>
      <c r="I118">
        <v>4642.46</v>
      </c>
      <c r="J118" t="s">
        <v>30</v>
      </c>
      <c r="K118" s="5">
        <v>0.06</v>
      </c>
      <c r="L118" t="s">
        <v>27</v>
      </c>
      <c r="M118" t="s">
        <v>19</v>
      </c>
      <c r="N118" t="s">
        <v>43</v>
      </c>
      <c r="O118" t="str">
        <f t="shared" si="3"/>
        <v>June</v>
      </c>
      <c r="P118">
        <f t="shared" si="4"/>
        <v>6</v>
      </c>
      <c r="Q118">
        <f t="shared" si="5"/>
        <v>2023</v>
      </c>
    </row>
    <row r="119" spans="1:17" x14ac:dyDescent="0.25">
      <c r="A119">
        <v>1081</v>
      </c>
      <c r="B119" s="1">
        <v>44931</v>
      </c>
      <c r="C119" t="s">
        <v>14</v>
      </c>
      <c r="D119" t="s">
        <v>25</v>
      </c>
      <c r="E119" s="4">
        <v>1429.32</v>
      </c>
      <c r="F119" s="2">
        <v>44</v>
      </c>
      <c r="G119" t="s">
        <v>26</v>
      </c>
      <c r="H119">
        <v>618.79</v>
      </c>
      <c r="I119">
        <v>938.04</v>
      </c>
      <c r="J119" t="s">
        <v>17</v>
      </c>
      <c r="K119" s="5">
        <v>0.03</v>
      </c>
      <c r="L119" t="s">
        <v>18</v>
      </c>
      <c r="M119" t="s">
        <v>19</v>
      </c>
      <c r="N119" t="s">
        <v>32</v>
      </c>
      <c r="O119" t="str">
        <f t="shared" si="3"/>
        <v>January</v>
      </c>
      <c r="P119">
        <f t="shared" si="4"/>
        <v>1</v>
      </c>
      <c r="Q119">
        <f t="shared" si="5"/>
        <v>2023</v>
      </c>
    </row>
    <row r="120" spans="1:17" x14ac:dyDescent="0.25">
      <c r="A120">
        <v>1008</v>
      </c>
      <c r="B120" s="1">
        <v>45265</v>
      </c>
      <c r="C120" t="s">
        <v>33</v>
      </c>
      <c r="D120" t="s">
        <v>34</v>
      </c>
      <c r="E120" s="4">
        <v>9583.5499999999993</v>
      </c>
      <c r="F120" s="2">
        <v>27</v>
      </c>
      <c r="G120" t="s">
        <v>35</v>
      </c>
      <c r="H120">
        <v>68.989999999999995</v>
      </c>
      <c r="I120">
        <v>429.29</v>
      </c>
      <c r="J120" t="s">
        <v>17</v>
      </c>
      <c r="K120" s="5">
        <v>0.18</v>
      </c>
      <c r="L120" t="s">
        <v>31</v>
      </c>
      <c r="M120" t="s">
        <v>22</v>
      </c>
      <c r="N120" t="s">
        <v>36</v>
      </c>
      <c r="O120" t="str">
        <f t="shared" si="3"/>
        <v>December</v>
      </c>
      <c r="P120">
        <f t="shared" si="4"/>
        <v>12</v>
      </c>
      <c r="Q120">
        <f t="shared" si="5"/>
        <v>2023</v>
      </c>
    </row>
    <row r="121" spans="1:17" x14ac:dyDescent="0.25">
      <c r="A121">
        <v>1035</v>
      </c>
      <c r="B121" s="1">
        <v>45004</v>
      </c>
      <c r="C121" t="s">
        <v>14</v>
      </c>
      <c r="D121" t="s">
        <v>25</v>
      </c>
      <c r="E121" s="4">
        <v>5343.63</v>
      </c>
      <c r="F121" s="2">
        <v>9</v>
      </c>
      <c r="G121" t="s">
        <v>29</v>
      </c>
      <c r="H121">
        <v>2534.94</v>
      </c>
      <c r="I121">
        <v>2755.56</v>
      </c>
      <c r="J121" t="s">
        <v>17</v>
      </c>
      <c r="K121" s="5">
        <v>0.13</v>
      </c>
      <c r="L121" t="s">
        <v>31</v>
      </c>
      <c r="M121" t="s">
        <v>22</v>
      </c>
      <c r="N121" t="s">
        <v>32</v>
      </c>
      <c r="O121" t="str">
        <f t="shared" si="3"/>
        <v>March</v>
      </c>
      <c r="P121">
        <f t="shared" si="4"/>
        <v>3</v>
      </c>
      <c r="Q121">
        <f t="shared" si="5"/>
        <v>2023</v>
      </c>
    </row>
    <row r="122" spans="1:17" x14ac:dyDescent="0.25">
      <c r="A122">
        <v>1035</v>
      </c>
      <c r="B122" s="1">
        <v>44988</v>
      </c>
      <c r="C122" t="s">
        <v>14</v>
      </c>
      <c r="D122" t="s">
        <v>21</v>
      </c>
      <c r="E122" s="4">
        <v>2494.7399999999998</v>
      </c>
      <c r="F122" s="2">
        <v>47</v>
      </c>
      <c r="G122" t="s">
        <v>35</v>
      </c>
      <c r="H122">
        <v>2936.48</v>
      </c>
      <c r="I122">
        <v>3096.64</v>
      </c>
      <c r="J122" t="s">
        <v>30</v>
      </c>
      <c r="K122" s="5">
        <v>0.06</v>
      </c>
      <c r="L122" t="s">
        <v>27</v>
      </c>
      <c r="M122" t="s">
        <v>19</v>
      </c>
      <c r="N122" t="s">
        <v>23</v>
      </c>
      <c r="O122" t="str">
        <f t="shared" si="3"/>
        <v>March</v>
      </c>
      <c r="P122">
        <f t="shared" si="4"/>
        <v>3</v>
      </c>
      <c r="Q122">
        <f t="shared" si="5"/>
        <v>2023</v>
      </c>
    </row>
    <row r="123" spans="1:17" x14ac:dyDescent="0.25">
      <c r="A123">
        <v>1033</v>
      </c>
      <c r="B123" s="1">
        <v>45058</v>
      </c>
      <c r="C123" t="s">
        <v>14</v>
      </c>
      <c r="D123" t="s">
        <v>15</v>
      </c>
      <c r="E123" s="4">
        <v>5055.9799999999996</v>
      </c>
      <c r="F123" s="2">
        <v>16</v>
      </c>
      <c r="G123" t="s">
        <v>16</v>
      </c>
      <c r="H123">
        <v>2915.88</v>
      </c>
      <c r="I123">
        <v>3397.36</v>
      </c>
      <c r="J123" t="s">
        <v>30</v>
      </c>
      <c r="K123" s="5">
        <v>0.2</v>
      </c>
      <c r="L123" t="s">
        <v>27</v>
      </c>
      <c r="M123" t="s">
        <v>22</v>
      </c>
      <c r="N123" t="s">
        <v>20</v>
      </c>
      <c r="O123" t="str">
        <f t="shared" si="3"/>
        <v>May</v>
      </c>
      <c r="P123">
        <f t="shared" si="4"/>
        <v>5</v>
      </c>
      <c r="Q123">
        <f t="shared" si="5"/>
        <v>2023</v>
      </c>
    </row>
    <row r="124" spans="1:17" x14ac:dyDescent="0.25">
      <c r="A124">
        <v>1005</v>
      </c>
      <c r="B124" s="1">
        <v>45015</v>
      </c>
      <c r="C124" t="s">
        <v>42</v>
      </c>
      <c r="D124" t="s">
        <v>34</v>
      </c>
      <c r="E124" s="4">
        <v>6828.24</v>
      </c>
      <c r="F124" s="2">
        <v>12</v>
      </c>
      <c r="G124" t="s">
        <v>35</v>
      </c>
      <c r="H124">
        <v>319.83</v>
      </c>
      <c r="I124">
        <v>802.43</v>
      </c>
      <c r="J124" t="s">
        <v>30</v>
      </c>
      <c r="K124" s="5">
        <v>0.04</v>
      </c>
      <c r="L124" t="s">
        <v>31</v>
      </c>
      <c r="M124" t="s">
        <v>22</v>
      </c>
      <c r="N124" t="s">
        <v>52</v>
      </c>
      <c r="O124" t="str">
        <f t="shared" si="3"/>
        <v>March</v>
      </c>
      <c r="P124">
        <f t="shared" si="4"/>
        <v>3</v>
      </c>
      <c r="Q124">
        <f t="shared" si="5"/>
        <v>2023</v>
      </c>
    </row>
    <row r="125" spans="1:17" x14ac:dyDescent="0.25">
      <c r="A125">
        <v>1041</v>
      </c>
      <c r="B125" s="1">
        <v>45163</v>
      </c>
      <c r="C125" t="s">
        <v>14</v>
      </c>
      <c r="D125" t="s">
        <v>25</v>
      </c>
      <c r="E125" s="4">
        <v>854.77</v>
      </c>
      <c r="F125" s="2">
        <v>31</v>
      </c>
      <c r="G125" t="s">
        <v>26</v>
      </c>
      <c r="H125">
        <v>1604.52</v>
      </c>
      <c r="I125">
        <v>1756.34</v>
      </c>
      <c r="J125" t="s">
        <v>17</v>
      </c>
      <c r="K125" s="5">
        <v>0.17</v>
      </c>
      <c r="L125" t="s">
        <v>18</v>
      </c>
      <c r="M125" t="s">
        <v>22</v>
      </c>
      <c r="N125" t="s">
        <v>32</v>
      </c>
      <c r="O125" t="str">
        <f t="shared" si="3"/>
        <v>August</v>
      </c>
      <c r="P125">
        <f t="shared" si="4"/>
        <v>8</v>
      </c>
      <c r="Q125">
        <f t="shared" si="5"/>
        <v>2023</v>
      </c>
    </row>
    <row r="126" spans="1:17" x14ac:dyDescent="0.25">
      <c r="A126">
        <v>1028</v>
      </c>
      <c r="B126" s="1">
        <v>44968</v>
      </c>
      <c r="C126" t="s">
        <v>42</v>
      </c>
      <c r="D126" t="s">
        <v>34</v>
      </c>
      <c r="E126" s="4">
        <v>2819.57</v>
      </c>
      <c r="F126" s="2">
        <v>24</v>
      </c>
      <c r="G126" t="s">
        <v>29</v>
      </c>
      <c r="H126">
        <v>2521.0300000000002</v>
      </c>
      <c r="I126">
        <v>2766.05</v>
      </c>
      <c r="J126" t="s">
        <v>17</v>
      </c>
      <c r="K126" s="5">
        <v>0.16</v>
      </c>
      <c r="L126" t="s">
        <v>27</v>
      </c>
      <c r="M126" t="s">
        <v>22</v>
      </c>
      <c r="N126" t="s">
        <v>52</v>
      </c>
      <c r="O126" t="str">
        <f t="shared" si="3"/>
        <v>February</v>
      </c>
      <c r="P126">
        <f t="shared" si="4"/>
        <v>2</v>
      </c>
      <c r="Q126">
        <f t="shared" si="5"/>
        <v>2023</v>
      </c>
    </row>
    <row r="127" spans="1:17" x14ac:dyDescent="0.25">
      <c r="A127">
        <v>1007</v>
      </c>
      <c r="B127" s="1">
        <v>45015</v>
      </c>
      <c r="C127" t="s">
        <v>24</v>
      </c>
      <c r="D127" t="s">
        <v>34</v>
      </c>
      <c r="E127" s="4">
        <v>8088.96</v>
      </c>
      <c r="F127" s="2">
        <v>14</v>
      </c>
      <c r="G127" t="s">
        <v>16</v>
      </c>
      <c r="H127">
        <v>1122.07</v>
      </c>
      <c r="I127">
        <v>1608.76</v>
      </c>
      <c r="J127" t="s">
        <v>30</v>
      </c>
      <c r="K127" s="5">
        <v>0.22</v>
      </c>
      <c r="L127" t="s">
        <v>18</v>
      </c>
      <c r="M127" t="s">
        <v>22</v>
      </c>
      <c r="N127" t="s">
        <v>50</v>
      </c>
      <c r="O127" t="str">
        <f t="shared" si="3"/>
        <v>March</v>
      </c>
      <c r="P127">
        <f t="shared" si="4"/>
        <v>3</v>
      </c>
      <c r="Q127">
        <f t="shared" si="5"/>
        <v>2023</v>
      </c>
    </row>
    <row r="128" spans="1:17" x14ac:dyDescent="0.25">
      <c r="A128">
        <v>1073</v>
      </c>
      <c r="B128" s="1">
        <v>45222</v>
      </c>
      <c r="C128" t="s">
        <v>33</v>
      </c>
      <c r="D128" t="s">
        <v>25</v>
      </c>
      <c r="E128" s="4">
        <v>4650.68</v>
      </c>
      <c r="F128" s="2">
        <v>45</v>
      </c>
      <c r="G128" t="s">
        <v>29</v>
      </c>
      <c r="H128">
        <v>4369.5</v>
      </c>
      <c r="I128">
        <v>4381.8900000000003</v>
      </c>
      <c r="J128" t="s">
        <v>17</v>
      </c>
      <c r="K128" s="5">
        <v>0.02</v>
      </c>
      <c r="L128" t="s">
        <v>31</v>
      </c>
      <c r="M128" t="s">
        <v>22</v>
      </c>
      <c r="N128" t="s">
        <v>44</v>
      </c>
      <c r="O128" t="str">
        <f t="shared" si="3"/>
        <v>October</v>
      </c>
      <c r="P128">
        <f t="shared" si="4"/>
        <v>10</v>
      </c>
      <c r="Q128">
        <f t="shared" si="5"/>
        <v>2023</v>
      </c>
    </row>
    <row r="129" spans="1:17" x14ac:dyDescent="0.25">
      <c r="A129">
        <v>1072</v>
      </c>
      <c r="B129" s="1">
        <v>45254</v>
      </c>
      <c r="C129" t="s">
        <v>42</v>
      </c>
      <c r="D129" t="s">
        <v>34</v>
      </c>
      <c r="E129" s="4">
        <v>5511.11</v>
      </c>
      <c r="F129" s="2">
        <v>25</v>
      </c>
      <c r="G129" t="s">
        <v>29</v>
      </c>
      <c r="H129">
        <v>481.19</v>
      </c>
      <c r="I129">
        <v>693.4</v>
      </c>
      <c r="J129" t="s">
        <v>30</v>
      </c>
      <c r="K129" s="5">
        <v>0.27</v>
      </c>
      <c r="L129" t="s">
        <v>31</v>
      </c>
      <c r="M129" t="s">
        <v>22</v>
      </c>
      <c r="N129" t="s">
        <v>52</v>
      </c>
      <c r="O129" t="str">
        <f t="shared" si="3"/>
        <v>November</v>
      </c>
      <c r="P129">
        <f t="shared" si="4"/>
        <v>11</v>
      </c>
      <c r="Q129">
        <f t="shared" si="5"/>
        <v>2023</v>
      </c>
    </row>
    <row r="130" spans="1:17" x14ac:dyDescent="0.25">
      <c r="A130">
        <v>1012</v>
      </c>
      <c r="B130" s="1">
        <v>45221</v>
      </c>
      <c r="C130" t="s">
        <v>24</v>
      </c>
      <c r="D130" t="s">
        <v>15</v>
      </c>
      <c r="E130" s="4">
        <v>4384.88</v>
      </c>
      <c r="F130" s="2">
        <v>34</v>
      </c>
      <c r="G130" t="s">
        <v>16</v>
      </c>
      <c r="H130">
        <v>2462.5500000000002</v>
      </c>
      <c r="I130">
        <v>2521.77</v>
      </c>
      <c r="J130" t="s">
        <v>30</v>
      </c>
      <c r="K130" s="5">
        <v>0.21</v>
      </c>
      <c r="L130" t="s">
        <v>27</v>
      </c>
      <c r="M130" t="s">
        <v>22</v>
      </c>
      <c r="N130" t="s">
        <v>45</v>
      </c>
      <c r="O130" t="str">
        <f t="shared" ref="O130:O193" si="6">TEXT(B130,"mmmm")</f>
        <v>October</v>
      </c>
      <c r="P130">
        <f t="shared" ref="P130:P193" si="7">MONTH(B130)</f>
        <v>10</v>
      </c>
      <c r="Q130">
        <f t="shared" ref="Q130:Q193" si="8">YEAR(B130)</f>
        <v>2023</v>
      </c>
    </row>
    <row r="131" spans="1:17" x14ac:dyDescent="0.25">
      <c r="A131">
        <v>1034</v>
      </c>
      <c r="B131" s="1">
        <v>45030</v>
      </c>
      <c r="C131" t="s">
        <v>42</v>
      </c>
      <c r="D131" t="s">
        <v>21</v>
      </c>
      <c r="E131" s="4">
        <v>534.61</v>
      </c>
      <c r="F131" s="2">
        <v>3</v>
      </c>
      <c r="G131" t="s">
        <v>29</v>
      </c>
      <c r="H131">
        <v>3472.51</v>
      </c>
      <c r="I131">
        <v>3732</v>
      </c>
      <c r="J131" t="s">
        <v>30</v>
      </c>
      <c r="K131" s="5">
        <v>0.06</v>
      </c>
      <c r="L131" t="s">
        <v>18</v>
      </c>
      <c r="M131" t="s">
        <v>19</v>
      </c>
      <c r="N131" t="s">
        <v>51</v>
      </c>
      <c r="O131" t="str">
        <f t="shared" si="6"/>
        <v>April</v>
      </c>
      <c r="P131">
        <f t="shared" si="7"/>
        <v>4</v>
      </c>
      <c r="Q131">
        <f t="shared" si="8"/>
        <v>2023</v>
      </c>
    </row>
    <row r="132" spans="1:17" x14ac:dyDescent="0.25">
      <c r="A132">
        <v>1033</v>
      </c>
      <c r="B132" s="1">
        <v>44940</v>
      </c>
      <c r="C132" t="s">
        <v>42</v>
      </c>
      <c r="D132" t="s">
        <v>21</v>
      </c>
      <c r="E132" s="4">
        <v>1740.92</v>
      </c>
      <c r="F132" s="2">
        <v>24</v>
      </c>
      <c r="G132" t="s">
        <v>29</v>
      </c>
      <c r="H132">
        <v>1345.67</v>
      </c>
      <c r="I132">
        <v>1367.76</v>
      </c>
      <c r="J132" t="s">
        <v>30</v>
      </c>
      <c r="K132" s="5">
        <v>0.06</v>
      </c>
      <c r="L132" t="s">
        <v>27</v>
      </c>
      <c r="M132" t="s">
        <v>19</v>
      </c>
      <c r="N132" t="s">
        <v>51</v>
      </c>
      <c r="O132" t="str">
        <f t="shared" si="6"/>
        <v>January</v>
      </c>
      <c r="P132">
        <f t="shared" si="7"/>
        <v>1</v>
      </c>
      <c r="Q132">
        <f t="shared" si="8"/>
        <v>2023</v>
      </c>
    </row>
    <row r="133" spans="1:17" x14ac:dyDescent="0.25">
      <c r="A133">
        <v>1048</v>
      </c>
      <c r="B133" s="1">
        <v>45214</v>
      </c>
      <c r="C133" t="s">
        <v>33</v>
      </c>
      <c r="D133" t="s">
        <v>15</v>
      </c>
      <c r="E133" s="4">
        <v>4510.8599999999997</v>
      </c>
      <c r="F133" s="2">
        <v>42</v>
      </c>
      <c r="G133" t="s">
        <v>35</v>
      </c>
      <c r="H133">
        <v>3139.99</v>
      </c>
      <c r="I133">
        <v>3349.37</v>
      </c>
      <c r="J133" t="s">
        <v>17</v>
      </c>
      <c r="K133" s="5">
        <v>0.13</v>
      </c>
      <c r="L133" t="s">
        <v>31</v>
      </c>
      <c r="M133" t="s">
        <v>22</v>
      </c>
      <c r="N133" t="s">
        <v>53</v>
      </c>
      <c r="O133" t="str">
        <f t="shared" si="6"/>
        <v>October</v>
      </c>
      <c r="P133">
        <f t="shared" si="7"/>
        <v>10</v>
      </c>
      <c r="Q133">
        <f t="shared" si="8"/>
        <v>2023</v>
      </c>
    </row>
    <row r="134" spans="1:17" x14ac:dyDescent="0.25">
      <c r="A134">
        <v>1023</v>
      </c>
      <c r="B134" s="1">
        <v>45105</v>
      </c>
      <c r="C134" t="s">
        <v>38</v>
      </c>
      <c r="D134" t="s">
        <v>34</v>
      </c>
      <c r="E134" s="4">
        <v>2170.94</v>
      </c>
      <c r="F134" s="2">
        <v>9</v>
      </c>
      <c r="G134" t="s">
        <v>29</v>
      </c>
      <c r="H134">
        <v>4155.46</v>
      </c>
      <c r="I134">
        <v>4273.6000000000004</v>
      </c>
      <c r="J134" t="s">
        <v>17</v>
      </c>
      <c r="K134" s="5">
        <v>0.25</v>
      </c>
      <c r="L134" t="s">
        <v>18</v>
      </c>
      <c r="M134" t="s">
        <v>22</v>
      </c>
      <c r="N134" t="s">
        <v>48</v>
      </c>
      <c r="O134" t="str">
        <f t="shared" si="6"/>
        <v>June</v>
      </c>
      <c r="P134">
        <f t="shared" si="7"/>
        <v>6</v>
      </c>
      <c r="Q134">
        <f t="shared" si="8"/>
        <v>2023</v>
      </c>
    </row>
    <row r="135" spans="1:17" x14ac:dyDescent="0.25">
      <c r="A135">
        <v>1062</v>
      </c>
      <c r="B135" s="1">
        <v>45051</v>
      </c>
      <c r="C135" t="s">
        <v>38</v>
      </c>
      <c r="D135" t="s">
        <v>25</v>
      </c>
      <c r="E135" s="4">
        <v>594.79</v>
      </c>
      <c r="F135" s="2">
        <v>26</v>
      </c>
      <c r="G135" t="s">
        <v>29</v>
      </c>
      <c r="H135">
        <v>992.17</v>
      </c>
      <c r="I135">
        <v>1263.49</v>
      </c>
      <c r="J135" t="s">
        <v>17</v>
      </c>
      <c r="K135" s="5">
        <v>0.25</v>
      </c>
      <c r="L135" t="s">
        <v>27</v>
      </c>
      <c r="M135" t="s">
        <v>22</v>
      </c>
      <c r="N135" t="s">
        <v>39</v>
      </c>
      <c r="O135" t="str">
        <f t="shared" si="6"/>
        <v>May</v>
      </c>
      <c r="P135">
        <f t="shared" si="7"/>
        <v>5</v>
      </c>
      <c r="Q135">
        <f t="shared" si="8"/>
        <v>2023</v>
      </c>
    </row>
    <row r="136" spans="1:17" x14ac:dyDescent="0.25">
      <c r="A136">
        <v>1088</v>
      </c>
      <c r="B136" s="1">
        <v>45279</v>
      </c>
      <c r="C136" t="s">
        <v>42</v>
      </c>
      <c r="D136" t="s">
        <v>34</v>
      </c>
      <c r="E136" s="4">
        <v>8452.1299999999992</v>
      </c>
      <c r="F136" s="2">
        <v>20</v>
      </c>
      <c r="G136" t="s">
        <v>29</v>
      </c>
      <c r="H136">
        <v>4590.24</v>
      </c>
      <c r="I136">
        <v>5088.28</v>
      </c>
      <c r="J136" t="s">
        <v>30</v>
      </c>
      <c r="K136" s="5">
        <v>0.16</v>
      </c>
      <c r="L136" t="s">
        <v>27</v>
      </c>
      <c r="M136" t="s">
        <v>22</v>
      </c>
      <c r="N136" t="s">
        <v>52</v>
      </c>
      <c r="O136" t="str">
        <f t="shared" si="6"/>
        <v>December</v>
      </c>
      <c r="P136">
        <f t="shared" si="7"/>
        <v>12</v>
      </c>
      <c r="Q136">
        <f t="shared" si="8"/>
        <v>2023</v>
      </c>
    </row>
    <row r="137" spans="1:17" x14ac:dyDescent="0.25">
      <c r="A137">
        <v>1037</v>
      </c>
      <c r="B137" s="1">
        <v>44949</v>
      </c>
      <c r="C137" t="s">
        <v>14</v>
      </c>
      <c r="D137" t="s">
        <v>15</v>
      </c>
      <c r="E137" s="4">
        <v>9813.81</v>
      </c>
      <c r="F137" s="2">
        <v>40</v>
      </c>
      <c r="G137" t="s">
        <v>29</v>
      </c>
      <c r="H137">
        <v>2790.11</v>
      </c>
      <c r="I137">
        <v>3192.37</v>
      </c>
      <c r="J137" t="s">
        <v>17</v>
      </c>
      <c r="K137" s="5">
        <v>0.26</v>
      </c>
      <c r="L137" t="s">
        <v>27</v>
      </c>
      <c r="M137" t="s">
        <v>19</v>
      </c>
      <c r="N137" t="s">
        <v>20</v>
      </c>
      <c r="O137" t="str">
        <f t="shared" si="6"/>
        <v>January</v>
      </c>
      <c r="P137">
        <f t="shared" si="7"/>
        <v>1</v>
      </c>
      <c r="Q137">
        <f t="shared" si="8"/>
        <v>2023</v>
      </c>
    </row>
    <row r="138" spans="1:17" x14ac:dyDescent="0.25">
      <c r="A138">
        <v>1099</v>
      </c>
      <c r="B138" s="1">
        <v>44989</v>
      </c>
      <c r="C138" t="s">
        <v>24</v>
      </c>
      <c r="D138" t="s">
        <v>34</v>
      </c>
      <c r="E138" s="4">
        <v>7952.11</v>
      </c>
      <c r="F138" s="2">
        <v>10</v>
      </c>
      <c r="G138" t="s">
        <v>16</v>
      </c>
      <c r="H138">
        <v>1531.2</v>
      </c>
      <c r="I138">
        <v>1955.56</v>
      </c>
      <c r="J138" t="s">
        <v>30</v>
      </c>
      <c r="K138" s="5">
        <v>0</v>
      </c>
      <c r="L138" t="s">
        <v>31</v>
      </c>
      <c r="M138" t="s">
        <v>19</v>
      </c>
      <c r="N138" t="s">
        <v>50</v>
      </c>
      <c r="O138" t="str">
        <f t="shared" si="6"/>
        <v>March</v>
      </c>
      <c r="P138">
        <f t="shared" si="7"/>
        <v>3</v>
      </c>
      <c r="Q138">
        <f t="shared" si="8"/>
        <v>2023</v>
      </c>
    </row>
    <row r="139" spans="1:17" x14ac:dyDescent="0.25">
      <c r="A139">
        <v>1044</v>
      </c>
      <c r="B139" s="1">
        <v>45069</v>
      </c>
      <c r="C139" t="s">
        <v>14</v>
      </c>
      <c r="D139" t="s">
        <v>21</v>
      </c>
      <c r="E139" s="4">
        <v>8552.4699999999993</v>
      </c>
      <c r="F139" s="2">
        <v>19</v>
      </c>
      <c r="G139" t="s">
        <v>26</v>
      </c>
      <c r="H139">
        <v>2182.75</v>
      </c>
      <c r="I139">
        <v>2504.0299999999902</v>
      </c>
      <c r="J139" t="s">
        <v>30</v>
      </c>
      <c r="K139" s="5">
        <v>0.01</v>
      </c>
      <c r="L139" t="s">
        <v>27</v>
      </c>
      <c r="M139" t="s">
        <v>19</v>
      </c>
      <c r="N139" t="s">
        <v>23</v>
      </c>
      <c r="O139" t="str">
        <f t="shared" si="6"/>
        <v>May</v>
      </c>
      <c r="P139">
        <f t="shared" si="7"/>
        <v>5</v>
      </c>
      <c r="Q139">
        <f t="shared" si="8"/>
        <v>2023</v>
      </c>
    </row>
    <row r="140" spans="1:17" x14ac:dyDescent="0.25">
      <c r="A140">
        <v>1086</v>
      </c>
      <c r="B140" s="1">
        <v>45079</v>
      </c>
      <c r="C140" t="s">
        <v>14</v>
      </c>
      <c r="D140" t="s">
        <v>34</v>
      </c>
      <c r="E140" s="4">
        <v>2495.5700000000002</v>
      </c>
      <c r="F140" s="2">
        <v>3</v>
      </c>
      <c r="G140" t="s">
        <v>35</v>
      </c>
      <c r="H140">
        <v>1595.35</v>
      </c>
      <c r="I140">
        <v>1625.70999999999</v>
      </c>
      <c r="J140" t="s">
        <v>30</v>
      </c>
      <c r="K140" s="5">
        <v>0.27</v>
      </c>
      <c r="L140" t="s">
        <v>18</v>
      </c>
      <c r="M140" t="s">
        <v>19</v>
      </c>
      <c r="N140" t="s">
        <v>46</v>
      </c>
      <c r="O140" t="str">
        <f t="shared" si="6"/>
        <v>June</v>
      </c>
      <c r="P140">
        <f t="shared" si="7"/>
        <v>6</v>
      </c>
      <c r="Q140">
        <f t="shared" si="8"/>
        <v>2023</v>
      </c>
    </row>
    <row r="141" spans="1:17" x14ac:dyDescent="0.25">
      <c r="A141">
        <v>1091</v>
      </c>
      <c r="B141" s="1">
        <v>45071</v>
      </c>
      <c r="C141" t="s">
        <v>42</v>
      </c>
      <c r="D141" t="s">
        <v>15</v>
      </c>
      <c r="E141" s="4">
        <v>9610.2099999999991</v>
      </c>
      <c r="F141" s="2">
        <v>24</v>
      </c>
      <c r="G141" t="s">
        <v>29</v>
      </c>
      <c r="H141">
        <v>3639.3</v>
      </c>
      <c r="I141">
        <v>3750.63</v>
      </c>
      <c r="J141" t="s">
        <v>30</v>
      </c>
      <c r="K141" s="5">
        <v>0.23</v>
      </c>
      <c r="L141" t="s">
        <v>27</v>
      </c>
      <c r="M141" t="s">
        <v>22</v>
      </c>
      <c r="N141" t="s">
        <v>49</v>
      </c>
      <c r="O141" t="str">
        <f t="shared" si="6"/>
        <v>May</v>
      </c>
      <c r="P141">
        <f t="shared" si="7"/>
        <v>5</v>
      </c>
      <c r="Q141">
        <f t="shared" si="8"/>
        <v>2023</v>
      </c>
    </row>
    <row r="142" spans="1:17" x14ac:dyDescent="0.25">
      <c r="A142">
        <v>1035</v>
      </c>
      <c r="B142" s="1">
        <v>45151</v>
      </c>
      <c r="C142" t="s">
        <v>42</v>
      </c>
      <c r="D142" t="s">
        <v>21</v>
      </c>
      <c r="E142" s="4">
        <v>2049.56</v>
      </c>
      <c r="F142" s="2">
        <v>5</v>
      </c>
      <c r="G142" t="s">
        <v>29</v>
      </c>
      <c r="H142">
        <v>3991.69</v>
      </c>
      <c r="I142">
        <v>4454.97</v>
      </c>
      <c r="J142" t="s">
        <v>30</v>
      </c>
      <c r="K142" s="5">
        <v>0.14000000000000001</v>
      </c>
      <c r="L142" t="s">
        <v>31</v>
      </c>
      <c r="M142" t="s">
        <v>22</v>
      </c>
      <c r="N142" t="s">
        <v>51</v>
      </c>
      <c r="O142" t="str">
        <f t="shared" si="6"/>
        <v>August</v>
      </c>
      <c r="P142">
        <f t="shared" si="7"/>
        <v>8</v>
      </c>
      <c r="Q142">
        <f t="shared" si="8"/>
        <v>2023</v>
      </c>
    </row>
    <row r="143" spans="1:17" x14ac:dyDescent="0.25">
      <c r="A143">
        <v>1065</v>
      </c>
      <c r="B143" s="1">
        <v>45235</v>
      </c>
      <c r="C143" t="s">
        <v>42</v>
      </c>
      <c r="D143" t="s">
        <v>34</v>
      </c>
      <c r="E143" s="4">
        <v>9519.16</v>
      </c>
      <c r="F143" s="2">
        <v>3</v>
      </c>
      <c r="G143" t="s">
        <v>16</v>
      </c>
      <c r="H143">
        <v>4173.04</v>
      </c>
      <c r="I143">
        <v>4362.4399999999996</v>
      </c>
      <c r="J143" t="s">
        <v>30</v>
      </c>
      <c r="K143" s="5">
        <v>0.23</v>
      </c>
      <c r="L143" t="s">
        <v>27</v>
      </c>
      <c r="M143" t="s">
        <v>22</v>
      </c>
      <c r="N143" t="s">
        <v>52</v>
      </c>
      <c r="O143" t="str">
        <f t="shared" si="6"/>
        <v>November</v>
      </c>
      <c r="P143">
        <f t="shared" si="7"/>
        <v>11</v>
      </c>
      <c r="Q143">
        <f t="shared" si="8"/>
        <v>2023</v>
      </c>
    </row>
    <row r="144" spans="1:17" x14ac:dyDescent="0.25">
      <c r="A144">
        <v>1099</v>
      </c>
      <c r="B144" s="1">
        <v>45030</v>
      </c>
      <c r="C144" t="s">
        <v>42</v>
      </c>
      <c r="D144" t="s">
        <v>34</v>
      </c>
      <c r="E144" s="4">
        <v>9948.7099999999991</v>
      </c>
      <c r="F144" s="2">
        <v>27</v>
      </c>
      <c r="G144" t="s">
        <v>26</v>
      </c>
      <c r="H144">
        <v>4929.55</v>
      </c>
      <c r="I144">
        <v>4990.33</v>
      </c>
      <c r="J144" t="s">
        <v>17</v>
      </c>
      <c r="K144" s="5">
        <v>0.28999999999999998</v>
      </c>
      <c r="L144" t="s">
        <v>31</v>
      </c>
      <c r="M144" t="s">
        <v>19</v>
      </c>
      <c r="N144" t="s">
        <v>52</v>
      </c>
      <c r="O144" t="str">
        <f t="shared" si="6"/>
        <v>April</v>
      </c>
      <c r="P144">
        <f t="shared" si="7"/>
        <v>4</v>
      </c>
      <c r="Q144">
        <f t="shared" si="8"/>
        <v>2023</v>
      </c>
    </row>
    <row r="145" spans="1:17" x14ac:dyDescent="0.25">
      <c r="A145">
        <v>1047</v>
      </c>
      <c r="B145" s="1">
        <v>45030</v>
      </c>
      <c r="C145" t="s">
        <v>38</v>
      </c>
      <c r="D145" t="s">
        <v>21</v>
      </c>
      <c r="E145" s="4">
        <v>7146.06</v>
      </c>
      <c r="F145" s="2">
        <v>16</v>
      </c>
      <c r="G145" t="s">
        <v>29</v>
      </c>
      <c r="H145">
        <v>3966.86</v>
      </c>
      <c r="I145">
        <v>4321.04</v>
      </c>
      <c r="J145" t="s">
        <v>17</v>
      </c>
      <c r="K145" s="5">
        <v>0.23</v>
      </c>
      <c r="L145" t="s">
        <v>31</v>
      </c>
      <c r="M145" t="s">
        <v>22</v>
      </c>
      <c r="N145" t="s">
        <v>41</v>
      </c>
      <c r="O145" t="str">
        <f t="shared" si="6"/>
        <v>April</v>
      </c>
      <c r="P145">
        <f t="shared" si="7"/>
        <v>4</v>
      </c>
      <c r="Q145">
        <f t="shared" si="8"/>
        <v>2023</v>
      </c>
    </row>
    <row r="146" spans="1:17" x14ac:dyDescent="0.25">
      <c r="A146">
        <v>1078</v>
      </c>
      <c r="B146" s="1">
        <v>44965</v>
      </c>
      <c r="C146" t="s">
        <v>42</v>
      </c>
      <c r="D146" t="s">
        <v>25</v>
      </c>
      <c r="E146" s="4">
        <v>9813.32</v>
      </c>
      <c r="F146" s="2">
        <v>49</v>
      </c>
      <c r="G146" t="s">
        <v>16</v>
      </c>
      <c r="H146">
        <v>3026.85</v>
      </c>
      <c r="I146">
        <v>3183.58</v>
      </c>
      <c r="J146" t="s">
        <v>17</v>
      </c>
      <c r="K146" s="5">
        <v>0.25</v>
      </c>
      <c r="L146" t="s">
        <v>18</v>
      </c>
      <c r="M146" t="s">
        <v>22</v>
      </c>
      <c r="N146" t="s">
        <v>43</v>
      </c>
      <c r="O146" t="str">
        <f t="shared" si="6"/>
        <v>February</v>
      </c>
      <c r="P146">
        <f t="shared" si="7"/>
        <v>2</v>
      </c>
      <c r="Q146">
        <f t="shared" si="8"/>
        <v>2023</v>
      </c>
    </row>
    <row r="147" spans="1:17" x14ac:dyDescent="0.25">
      <c r="A147">
        <v>1003</v>
      </c>
      <c r="B147" s="1">
        <v>45124</v>
      </c>
      <c r="C147" t="s">
        <v>38</v>
      </c>
      <c r="D147" t="s">
        <v>21</v>
      </c>
      <c r="E147" s="4">
        <v>5738.44</v>
      </c>
      <c r="F147" s="2">
        <v>15</v>
      </c>
      <c r="G147" t="s">
        <v>35</v>
      </c>
      <c r="H147">
        <v>1729.14</v>
      </c>
      <c r="I147">
        <v>1870.88</v>
      </c>
      <c r="J147" t="s">
        <v>17</v>
      </c>
      <c r="K147" s="5">
        <v>0.23</v>
      </c>
      <c r="L147" t="s">
        <v>18</v>
      </c>
      <c r="M147" t="s">
        <v>19</v>
      </c>
      <c r="N147" t="s">
        <v>41</v>
      </c>
      <c r="O147" t="str">
        <f t="shared" si="6"/>
        <v>July</v>
      </c>
      <c r="P147">
        <f t="shared" si="7"/>
        <v>7</v>
      </c>
      <c r="Q147">
        <f t="shared" si="8"/>
        <v>2023</v>
      </c>
    </row>
    <row r="148" spans="1:17" x14ac:dyDescent="0.25">
      <c r="A148">
        <v>1001</v>
      </c>
      <c r="B148" s="1">
        <v>45060</v>
      </c>
      <c r="C148" t="s">
        <v>38</v>
      </c>
      <c r="D148" t="s">
        <v>25</v>
      </c>
      <c r="E148" s="4">
        <v>2669.46</v>
      </c>
      <c r="F148" s="2">
        <v>35</v>
      </c>
      <c r="G148" t="s">
        <v>35</v>
      </c>
      <c r="H148">
        <v>2745.75</v>
      </c>
      <c r="I148">
        <v>3244.76</v>
      </c>
      <c r="J148" t="s">
        <v>30</v>
      </c>
      <c r="K148" s="5">
        <v>0.05</v>
      </c>
      <c r="L148" t="s">
        <v>27</v>
      </c>
      <c r="M148" t="s">
        <v>19</v>
      </c>
      <c r="N148" t="s">
        <v>39</v>
      </c>
      <c r="O148" t="str">
        <f t="shared" si="6"/>
        <v>May</v>
      </c>
      <c r="P148">
        <f t="shared" si="7"/>
        <v>5</v>
      </c>
      <c r="Q148">
        <f t="shared" si="8"/>
        <v>2023</v>
      </c>
    </row>
    <row r="149" spans="1:17" x14ac:dyDescent="0.25">
      <c r="A149">
        <v>1005</v>
      </c>
      <c r="B149" s="1">
        <v>44993</v>
      </c>
      <c r="C149" t="s">
        <v>42</v>
      </c>
      <c r="D149" t="s">
        <v>15</v>
      </c>
      <c r="E149" s="4">
        <v>4426.26</v>
      </c>
      <c r="F149" s="2">
        <v>12</v>
      </c>
      <c r="G149" t="s">
        <v>29</v>
      </c>
      <c r="H149">
        <v>253.29</v>
      </c>
      <c r="I149">
        <v>683.78</v>
      </c>
      <c r="J149" t="s">
        <v>30</v>
      </c>
      <c r="K149" s="5">
        <v>0.25</v>
      </c>
      <c r="L149" t="s">
        <v>31</v>
      </c>
      <c r="M149" t="s">
        <v>19</v>
      </c>
      <c r="N149" t="s">
        <v>49</v>
      </c>
      <c r="O149" t="str">
        <f t="shared" si="6"/>
        <v>March</v>
      </c>
      <c r="P149">
        <f t="shared" si="7"/>
        <v>3</v>
      </c>
      <c r="Q149">
        <f t="shared" si="8"/>
        <v>2023</v>
      </c>
    </row>
    <row r="150" spans="1:17" x14ac:dyDescent="0.25">
      <c r="A150">
        <v>1090</v>
      </c>
      <c r="B150" s="1">
        <v>45105</v>
      </c>
      <c r="C150" t="s">
        <v>33</v>
      </c>
      <c r="D150" t="s">
        <v>15</v>
      </c>
      <c r="E150" s="4">
        <v>5976.25</v>
      </c>
      <c r="F150" s="2">
        <v>41</v>
      </c>
      <c r="G150" t="s">
        <v>29</v>
      </c>
      <c r="H150">
        <v>3736.88</v>
      </c>
      <c r="I150">
        <v>3946.77</v>
      </c>
      <c r="J150" t="s">
        <v>17</v>
      </c>
      <c r="K150" s="5">
        <v>0.06</v>
      </c>
      <c r="L150" t="s">
        <v>31</v>
      </c>
      <c r="M150" t="s">
        <v>19</v>
      </c>
      <c r="N150" t="s">
        <v>53</v>
      </c>
      <c r="O150" t="str">
        <f t="shared" si="6"/>
        <v>June</v>
      </c>
      <c r="P150">
        <f t="shared" si="7"/>
        <v>6</v>
      </c>
      <c r="Q150">
        <f t="shared" si="8"/>
        <v>2023</v>
      </c>
    </row>
    <row r="151" spans="1:17" x14ac:dyDescent="0.25">
      <c r="A151">
        <v>1014</v>
      </c>
      <c r="B151" s="1">
        <v>44968</v>
      </c>
      <c r="C151" t="s">
        <v>24</v>
      </c>
      <c r="D151" t="s">
        <v>21</v>
      </c>
      <c r="E151" s="4">
        <v>823.51</v>
      </c>
      <c r="F151" s="2">
        <v>44</v>
      </c>
      <c r="G151" t="s">
        <v>26</v>
      </c>
      <c r="H151">
        <v>2257.48</v>
      </c>
      <c r="I151">
        <v>2747.81</v>
      </c>
      <c r="J151" t="s">
        <v>17</v>
      </c>
      <c r="K151" s="5">
        <v>0.27</v>
      </c>
      <c r="L151" t="s">
        <v>18</v>
      </c>
      <c r="M151" t="s">
        <v>19</v>
      </c>
      <c r="N151" t="s">
        <v>47</v>
      </c>
      <c r="O151" t="str">
        <f t="shared" si="6"/>
        <v>February</v>
      </c>
      <c r="P151">
        <f t="shared" si="7"/>
        <v>2</v>
      </c>
      <c r="Q151">
        <f t="shared" si="8"/>
        <v>2023</v>
      </c>
    </row>
    <row r="152" spans="1:17" x14ac:dyDescent="0.25">
      <c r="A152">
        <v>1027</v>
      </c>
      <c r="B152" s="1">
        <v>44941</v>
      </c>
      <c r="C152" t="s">
        <v>14</v>
      </c>
      <c r="D152" t="s">
        <v>21</v>
      </c>
      <c r="E152" s="4">
        <v>6261.2</v>
      </c>
      <c r="F152" s="2">
        <v>26</v>
      </c>
      <c r="G152" t="s">
        <v>26</v>
      </c>
      <c r="H152">
        <v>149.11000000000001</v>
      </c>
      <c r="I152">
        <v>477.67</v>
      </c>
      <c r="J152" t="s">
        <v>17</v>
      </c>
      <c r="K152" s="5">
        <v>0.14000000000000001</v>
      </c>
      <c r="L152" t="s">
        <v>18</v>
      </c>
      <c r="M152" t="s">
        <v>22</v>
      </c>
      <c r="N152" t="s">
        <v>23</v>
      </c>
      <c r="O152" t="str">
        <f t="shared" si="6"/>
        <v>January</v>
      </c>
      <c r="P152">
        <f t="shared" si="7"/>
        <v>1</v>
      </c>
      <c r="Q152">
        <f t="shared" si="8"/>
        <v>2023</v>
      </c>
    </row>
    <row r="153" spans="1:17" x14ac:dyDescent="0.25">
      <c r="A153">
        <v>1009</v>
      </c>
      <c r="B153" s="1">
        <v>45037</v>
      </c>
      <c r="C153" t="s">
        <v>38</v>
      </c>
      <c r="D153" t="s">
        <v>15</v>
      </c>
      <c r="E153" s="4">
        <v>9813.66</v>
      </c>
      <c r="F153" s="2">
        <v>47</v>
      </c>
      <c r="G153" t="s">
        <v>29</v>
      </c>
      <c r="H153">
        <v>359.41</v>
      </c>
      <c r="I153">
        <v>733</v>
      </c>
      <c r="J153" t="s">
        <v>17</v>
      </c>
      <c r="K153" s="5">
        <v>0.2</v>
      </c>
      <c r="L153" t="s">
        <v>27</v>
      </c>
      <c r="M153" t="s">
        <v>22</v>
      </c>
      <c r="N153" t="s">
        <v>40</v>
      </c>
      <c r="O153" t="str">
        <f t="shared" si="6"/>
        <v>April</v>
      </c>
      <c r="P153">
        <f t="shared" si="7"/>
        <v>4</v>
      </c>
      <c r="Q153">
        <f t="shared" si="8"/>
        <v>2023</v>
      </c>
    </row>
    <row r="154" spans="1:17" x14ac:dyDescent="0.25">
      <c r="A154">
        <v>1079</v>
      </c>
      <c r="B154" s="1">
        <v>45083</v>
      </c>
      <c r="C154" t="s">
        <v>24</v>
      </c>
      <c r="D154" t="s">
        <v>25</v>
      </c>
      <c r="E154" s="4">
        <v>1982.07</v>
      </c>
      <c r="F154" s="2">
        <v>34</v>
      </c>
      <c r="G154" t="s">
        <v>16</v>
      </c>
      <c r="H154">
        <v>1967.96</v>
      </c>
      <c r="I154">
        <v>1993.4</v>
      </c>
      <c r="J154" t="s">
        <v>17</v>
      </c>
      <c r="K154" s="5">
        <v>0.15</v>
      </c>
      <c r="L154" t="s">
        <v>31</v>
      </c>
      <c r="M154" t="s">
        <v>19</v>
      </c>
      <c r="N154" t="s">
        <v>28</v>
      </c>
      <c r="O154" t="str">
        <f t="shared" si="6"/>
        <v>June</v>
      </c>
      <c r="P154">
        <f t="shared" si="7"/>
        <v>6</v>
      </c>
      <c r="Q154">
        <f t="shared" si="8"/>
        <v>2023</v>
      </c>
    </row>
    <row r="155" spans="1:17" x14ac:dyDescent="0.25">
      <c r="A155">
        <v>1015</v>
      </c>
      <c r="B155" s="1">
        <v>45215</v>
      </c>
      <c r="C155" t="s">
        <v>33</v>
      </c>
      <c r="D155" t="s">
        <v>15</v>
      </c>
      <c r="E155" s="4">
        <v>7946.69</v>
      </c>
      <c r="F155" s="2">
        <v>23</v>
      </c>
      <c r="G155" t="s">
        <v>26</v>
      </c>
      <c r="H155">
        <v>2937.94</v>
      </c>
      <c r="I155">
        <v>3007.53</v>
      </c>
      <c r="J155" t="s">
        <v>17</v>
      </c>
      <c r="K155" s="5">
        <v>0.03</v>
      </c>
      <c r="L155" t="s">
        <v>18</v>
      </c>
      <c r="M155" t="s">
        <v>22</v>
      </c>
      <c r="N155" t="s">
        <v>53</v>
      </c>
      <c r="O155" t="str">
        <f t="shared" si="6"/>
        <v>October</v>
      </c>
      <c r="P155">
        <f t="shared" si="7"/>
        <v>10</v>
      </c>
      <c r="Q155">
        <f t="shared" si="8"/>
        <v>2023</v>
      </c>
    </row>
    <row r="156" spans="1:17" x14ac:dyDescent="0.25">
      <c r="A156">
        <v>1090</v>
      </c>
      <c r="B156" s="1">
        <v>45157</v>
      </c>
      <c r="C156" t="s">
        <v>14</v>
      </c>
      <c r="D156" t="s">
        <v>21</v>
      </c>
      <c r="E156" s="4">
        <v>9088.2000000000007</v>
      </c>
      <c r="F156" s="2">
        <v>31</v>
      </c>
      <c r="G156" t="s">
        <v>29</v>
      </c>
      <c r="H156">
        <v>2347.81</v>
      </c>
      <c r="I156">
        <v>2668.02</v>
      </c>
      <c r="J156" t="s">
        <v>17</v>
      </c>
      <c r="K156" s="5">
        <v>0.09</v>
      </c>
      <c r="L156" t="s">
        <v>27</v>
      </c>
      <c r="M156" t="s">
        <v>22</v>
      </c>
      <c r="N156" t="s">
        <v>23</v>
      </c>
      <c r="O156" t="str">
        <f t="shared" si="6"/>
        <v>August</v>
      </c>
      <c r="P156">
        <f t="shared" si="7"/>
        <v>8</v>
      </c>
      <c r="Q156">
        <f t="shared" si="8"/>
        <v>2023</v>
      </c>
    </row>
    <row r="157" spans="1:17" x14ac:dyDescent="0.25">
      <c r="A157">
        <v>1042</v>
      </c>
      <c r="B157" s="1">
        <v>45083</v>
      </c>
      <c r="C157" t="s">
        <v>14</v>
      </c>
      <c r="D157" t="s">
        <v>15</v>
      </c>
      <c r="E157" s="4">
        <v>9442.65</v>
      </c>
      <c r="F157" s="2">
        <v>20</v>
      </c>
      <c r="G157" t="s">
        <v>26</v>
      </c>
      <c r="H157">
        <v>3115.06</v>
      </c>
      <c r="I157">
        <v>3565.58</v>
      </c>
      <c r="J157" t="s">
        <v>17</v>
      </c>
      <c r="K157" s="5">
        <v>0.3</v>
      </c>
      <c r="L157" t="s">
        <v>31</v>
      </c>
      <c r="M157" t="s">
        <v>22</v>
      </c>
      <c r="N157" t="s">
        <v>20</v>
      </c>
      <c r="O157" t="str">
        <f t="shared" si="6"/>
        <v>June</v>
      </c>
      <c r="P157">
        <f t="shared" si="7"/>
        <v>6</v>
      </c>
      <c r="Q157">
        <f t="shared" si="8"/>
        <v>2023</v>
      </c>
    </row>
    <row r="158" spans="1:17" x14ac:dyDescent="0.25">
      <c r="A158">
        <v>1077</v>
      </c>
      <c r="B158" s="1">
        <v>44964</v>
      </c>
      <c r="C158" t="s">
        <v>38</v>
      </c>
      <c r="D158" t="s">
        <v>21</v>
      </c>
      <c r="E158" s="4">
        <v>9605.34</v>
      </c>
      <c r="F158" s="2">
        <v>12</v>
      </c>
      <c r="G158" t="s">
        <v>29</v>
      </c>
      <c r="H158">
        <v>2427.46</v>
      </c>
      <c r="I158">
        <v>2743.09</v>
      </c>
      <c r="J158" t="s">
        <v>30</v>
      </c>
      <c r="K158" s="5">
        <v>0.28999999999999998</v>
      </c>
      <c r="L158" t="s">
        <v>31</v>
      </c>
      <c r="M158" t="s">
        <v>22</v>
      </c>
      <c r="N158" t="s">
        <v>41</v>
      </c>
      <c r="O158" t="str">
        <f t="shared" si="6"/>
        <v>February</v>
      </c>
      <c r="P158">
        <f t="shared" si="7"/>
        <v>2</v>
      </c>
      <c r="Q158">
        <f t="shared" si="8"/>
        <v>2023</v>
      </c>
    </row>
    <row r="159" spans="1:17" x14ac:dyDescent="0.25">
      <c r="A159">
        <v>1051</v>
      </c>
      <c r="B159" s="1">
        <v>45023</v>
      </c>
      <c r="C159" t="s">
        <v>42</v>
      </c>
      <c r="D159" t="s">
        <v>21</v>
      </c>
      <c r="E159" s="4">
        <v>5262.45</v>
      </c>
      <c r="F159" s="2">
        <v>23</v>
      </c>
      <c r="G159" t="s">
        <v>35</v>
      </c>
      <c r="H159">
        <v>3325.43</v>
      </c>
      <c r="I159">
        <v>3401.1</v>
      </c>
      <c r="J159" t="s">
        <v>30</v>
      </c>
      <c r="K159" s="5">
        <v>0.1</v>
      </c>
      <c r="L159" t="s">
        <v>18</v>
      </c>
      <c r="M159" t="s">
        <v>19</v>
      </c>
      <c r="N159" t="s">
        <v>51</v>
      </c>
      <c r="O159" t="str">
        <f t="shared" si="6"/>
        <v>April</v>
      </c>
      <c r="P159">
        <f t="shared" si="7"/>
        <v>4</v>
      </c>
      <c r="Q159">
        <f t="shared" si="8"/>
        <v>2023</v>
      </c>
    </row>
    <row r="160" spans="1:17" x14ac:dyDescent="0.25">
      <c r="A160">
        <v>1063</v>
      </c>
      <c r="B160" s="1">
        <v>45215</v>
      </c>
      <c r="C160" t="s">
        <v>33</v>
      </c>
      <c r="D160" t="s">
        <v>15</v>
      </c>
      <c r="E160" s="4">
        <v>9775.35</v>
      </c>
      <c r="F160" s="2">
        <v>4</v>
      </c>
      <c r="G160" t="s">
        <v>29</v>
      </c>
      <c r="H160">
        <v>1134.67</v>
      </c>
      <c r="I160">
        <v>1201.3900000000001</v>
      </c>
      <c r="J160" t="s">
        <v>30</v>
      </c>
      <c r="K160" s="5">
        <v>0.3</v>
      </c>
      <c r="L160" t="s">
        <v>27</v>
      </c>
      <c r="M160" t="s">
        <v>22</v>
      </c>
      <c r="N160" t="s">
        <v>53</v>
      </c>
      <c r="O160" t="str">
        <f t="shared" si="6"/>
        <v>October</v>
      </c>
      <c r="P160">
        <f t="shared" si="7"/>
        <v>10</v>
      </c>
      <c r="Q160">
        <f t="shared" si="8"/>
        <v>2023</v>
      </c>
    </row>
    <row r="161" spans="1:17" x14ac:dyDescent="0.25">
      <c r="A161">
        <v>1096</v>
      </c>
      <c r="B161" s="1">
        <v>45180</v>
      </c>
      <c r="C161" t="s">
        <v>38</v>
      </c>
      <c r="D161" t="s">
        <v>25</v>
      </c>
      <c r="E161" s="4">
        <v>7597.37</v>
      </c>
      <c r="F161" s="2">
        <v>23</v>
      </c>
      <c r="G161" t="s">
        <v>35</v>
      </c>
      <c r="H161">
        <v>608.57000000000005</v>
      </c>
      <c r="I161">
        <v>1032.22</v>
      </c>
      <c r="J161" t="s">
        <v>30</v>
      </c>
      <c r="K161" s="5">
        <v>0.25</v>
      </c>
      <c r="L161" t="s">
        <v>18</v>
      </c>
      <c r="M161" t="s">
        <v>22</v>
      </c>
      <c r="N161" t="s">
        <v>39</v>
      </c>
      <c r="O161" t="str">
        <f t="shared" si="6"/>
        <v>September</v>
      </c>
      <c r="P161">
        <f t="shared" si="7"/>
        <v>9</v>
      </c>
      <c r="Q161">
        <f t="shared" si="8"/>
        <v>2023</v>
      </c>
    </row>
    <row r="162" spans="1:17" x14ac:dyDescent="0.25">
      <c r="A162">
        <v>1052</v>
      </c>
      <c r="B162" s="1">
        <v>45122</v>
      </c>
      <c r="C162" t="s">
        <v>33</v>
      </c>
      <c r="D162" t="s">
        <v>34</v>
      </c>
      <c r="E162" s="4">
        <v>1700.55</v>
      </c>
      <c r="F162" s="2">
        <v>48</v>
      </c>
      <c r="G162" t="s">
        <v>26</v>
      </c>
      <c r="H162">
        <v>3002.35</v>
      </c>
      <c r="I162">
        <v>3080.61</v>
      </c>
      <c r="J162" t="s">
        <v>17</v>
      </c>
      <c r="K162" s="5">
        <v>0.18</v>
      </c>
      <c r="L162" t="s">
        <v>27</v>
      </c>
      <c r="M162" t="s">
        <v>22</v>
      </c>
      <c r="N162" t="s">
        <v>36</v>
      </c>
      <c r="O162" t="str">
        <f t="shared" si="6"/>
        <v>July</v>
      </c>
      <c r="P162">
        <f t="shared" si="7"/>
        <v>7</v>
      </c>
      <c r="Q162">
        <f t="shared" si="8"/>
        <v>2023</v>
      </c>
    </row>
    <row r="163" spans="1:17" x14ac:dyDescent="0.25">
      <c r="A163">
        <v>1096</v>
      </c>
      <c r="B163" s="1">
        <v>45012</v>
      </c>
      <c r="C163" t="s">
        <v>42</v>
      </c>
      <c r="D163" t="s">
        <v>15</v>
      </c>
      <c r="E163" s="4">
        <v>4821.3100000000004</v>
      </c>
      <c r="F163" s="2">
        <v>48</v>
      </c>
      <c r="G163" t="s">
        <v>29</v>
      </c>
      <c r="H163">
        <v>2449.21</v>
      </c>
      <c r="I163">
        <v>2714.12</v>
      </c>
      <c r="J163" t="s">
        <v>30</v>
      </c>
      <c r="K163" s="5">
        <v>0.01</v>
      </c>
      <c r="L163" t="s">
        <v>31</v>
      </c>
      <c r="M163" t="s">
        <v>19</v>
      </c>
      <c r="N163" t="s">
        <v>49</v>
      </c>
      <c r="O163" t="str">
        <f t="shared" si="6"/>
        <v>March</v>
      </c>
      <c r="P163">
        <f t="shared" si="7"/>
        <v>3</v>
      </c>
      <c r="Q163">
        <f t="shared" si="8"/>
        <v>2023</v>
      </c>
    </row>
    <row r="164" spans="1:17" x14ac:dyDescent="0.25">
      <c r="A164">
        <v>1004</v>
      </c>
      <c r="B164" s="1">
        <v>45248</v>
      </c>
      <c r="C164" t="s">
        <v>42</v>
      </c>
      <c r="D164" t="s">
        <v>34</v>
      </c>
      <c r="E164" s="4">
        <v>7211.48</v>
      </c>
      <c r="F164" s="2">
        <v>1</v>
      </c>
      <c r="G164" t="s">
        <v>26</v>
      </c>
      <c r="H164">
        <v>182.99</v>
      </c>
      <c r="I164">
        <v>211.18</v>
      </c>
      <c r="J164" t="s">
        <v>17</v>
      </c>
      <c r="K164" s="5">
        <v>0.27</v>
      </c>
      <c r="L164" t="s">
        <v>27</v>
      </c>
      <c r="M164" t="s">
        <v>22</v>
      </c>
      <c r="N164" t="s">
        <v>52</v>
      </c>
      <c r="O164" t="str">
        <f t="shared" si="6"/>
        <v>November</v>
      </c>
      <c r="P164">
        <f t="shared" si="7"/>
        <v>11</v>
      </c>
      <c r="Q164">
        <f t="shared" si="8"/>
        <v>2023</v>
      </c>
    </row>
    <row r="165" spans="1:17" x14ac:dyDescent="0.25">
      <c r="A165">
        <v>1094</v>
      </c>
      <c r="B165" s="1">
        <v>44936</v>
      </c>
      <c r="C165" t="s">
        <v>38</v>
      </c>
      <c r="D165" t="s">
        <v>15</v>
      </c>
      <c r="E165" s="4">
        <v>2548.67</v>
      </c>
      <c r="F165" s="2">
        <v>25</v>
      </c>
      <c r="G165" t="s">
        <v>35</v>
      </c>
      <c r="H165">
        <v>1933.39</v>
      </c>
      <c r="I165">
        <v>1982.92</v>
      </c>
      <c r="J165" t="s">
        <v>30</v>
      </c>
      <c r="K165" s="5">
        <v>0.17</v>
      </c>
      <c r="L165" t="s">
        <v>27</v>
      </c>
      <c r="M165" t="s">
        <v>19</v>
      </c>
      <c r="N165" t="s">
        <v>40</v>
      </c>
      <c r="O165" t="str">
        <f t="shared" si="6"/>
        <v>January</v>
      </c>
      <c r="P165">
        <f t="shared" si="7"/>
        <v>1</v>
      </c>
      <c r="Q165">
        <f t="shared" si="8"/>
        <v>2023</v>
      </c>
    </row>
    <row r="166" spans="1:17" x14ac:dyDescent="0.25">
      <c r="A166">
        <v>1023</v>
      </c>
      <c r="B166" s="1">
        <v>44931</v>
      </c>
      <c r="C166" t="s">
        <v>42</v>
      </c>
      <c r="D166" t="s">
        <v>34</v>
      </c>
      <c r="E166" s="4">
        <v>6442.09</v>
      </c>
      <c r="F166" s="2">
        <v>2</v>
      </c>
      <c r="G166" t="s">
        <v>29</v>
      </c>
      <c r="H166">
        <v>575.32000000000005</v>
      </c>
      <c r="I166">
        <v>914.77</v>
      </c>
      <c r="J166" t="s">
        <v>17</v>
      </c>
      <c r="K166" s="5">
        <v>0.26</v>
      </c>
      <c r="L166" t="s">
        <v>27</v>
      </c>
      <c r="M166" t="s">
        <v>19</v>
      </c>
      <c r="N166" t="s">
        <v>52</v>
      </c>
      <c r="O166" t="str">
        <f t="shared" si="6"/>
        <v>January</v>
      </c>
      <c r="P166">
        <f t="shared" si="7"/>
        <v>1</v>
      </c>
      <c r="Q166">
        <f t="shared" si="8"/>
        <v>2023</v>
      </c>
    </row>
    <row r="167" spans="1:17" x14ac:dyDescent="0.25">
      <c r="A167">
        <v>1015</v>
      </c>
      <c r="B167" s="1">
        <v>45049</v>
      </c>
      <c r="C167" t="s">
        <v>24</v>
      </c>
      <c r="D167" t="s">
        <v>25</v>
      </c>
      <c r="E167" s="4">
        <v>6699.34</v>
      </c>
      <c r="F167" s="2">
        <v>30</v>
      </c>
      <c r="G167" t="s">
        <v>26</v>
      </c>
      <c r="H167">
        <v>2680.22</v>
      </c>
      <c r="I167">
        <v>3027.9199999999901</v>
      </c>
      <c r="J167" t="s">
        <v>17</v>
      </c>
      <c r="K167" s="5">
        <v>0.25</v>
      </c>
      <c r="L167" t="s">
        <v>27</v>
      </c>
      <c r="M167" t="s">
        <v>19</v>
      </c>
      <c r="N167" t="s">
        <v>28</v>
      </c>
      <c r="O167" t="str">
        <f t="shared" si="6"/>
        <v>May</v>
      </c>
      <c r="P167">
        <f t="shared" si="7"/>
        <v>5</v>
      </c>
      <c r="Q167">
        <f t="shared" si="8"/>
        <v>2023</v>
      </c>
    </row>
    <row r="168" spans="1:17" x14ac:dyDescent="0.25">
      <c r="A168">
        <v>1043</v>
      </c>
      <c r="B168" s="1">
        <v>45256</v>
      </c>
      <c r="C168" t="s">
        <v>14</v>
      </c>
      <c r="D168" t="s">
        <v>25</v>
      </c>
      <c r="E168" s="4">
        <v>1710.73</v>
      </c>
      <c r="F168" s="2">
        <v>3</v>
      </c>
      <c r="G168" t="s">
        <v>35</v>
      </c>
      <c r="H168">
        <v>2009.1</v>
      </c>
      <c r="I168">
        <v>2186.42</v>
      </c>
      <c r="J168" t="s">
        <v>30</v>
      </c>
      <c r="K168" s="5">
        <v>0.25</v>
      </c>
      <c r="L168" t="s">
        <v>27</v>
      </c>
      <c r="M168" t="s">
        <v>19</v>
      </c>
      <c r="N168" t="s">
        <v>32</v>
      </c>
      <c r="O168" t="str">
        <f t="shared" si="6"/>
        <v>November</v>
      </c>
      <c r="P168">
        <f t="shared" si="7"/>
        <v>11</v>
      </c>
      <c r="Q168">
        <f t="shared" si="8"/>
        <v>2023</v>
      </c>
    </row>
    <row r="169" spans="1:17" x14ac:dyDescent="0.25">
      <c r="A169">
        <v>1029</v>
      </c>
      <c r="B169" s="1">
        <v>45279</v>
      </c>
      <c r="C169" t="s">
        <v>38</v>
      </c>
      <c r="D169" t="s">
        <v>15</v>
      </c>
      <c r="E169" s="4">
        <v>5694.34</v>
      </c>
      <c r="F169" s="2">
        <v>21</v>
      </c>
      <c r="G169" t="s">
        <v>26</v>
      </c>
      <c r="H169">
        <v>3085.1</v>
      </c>
      <c r="I169">
        <v>3200.75</v>
      </c>
      <c r="J169" t="s">
        <v>30</v>
      </c>
      <c r="K169" s="5">
        <v>0.21</v>
      </c>
      <c r="L169" t="s">
        <v>18</v>
      </c>
      <c r="M169" t="s">
        <v>22</v>
      </c>
      <c r="N169" t="s">
        <v>40</v>
      </c>
      <c r="O169" t="str">
        <f t="shared" si="6"/>
        <v>December</v>
      </c>
      <c r="P169">
        <f t="shared" si="7"/>
        <v>12</v>
      </c>
      <c r="Q169">
        <f t="shared" si="8"/>
        <v>2023</v>
      </c>
    </row>
    <row r="170" spans="1:17" x14ac:dyDescent="0.25">
      <c r="A170">
        <v>1036</v>
      </c>
      <c r="B170" s="1">
        <v>45044</v>
      </c>
      <c r="C170" t="s">
        <v>33</v>
      </c>
      <c r="D170" t="s">
        <v>21</v>
      </c>
      <c r="E170" s="4">
        <v>7739.11</v>
      </c>
      <c r="F170" s="2">
        <v>25</v>
      </c>
      <c r="G170" t="s">
        <v>16</v>
      </c>
      <c r="H170">
        <v>4037.73</v>
      </c>
      <c r="I170">
        <v>4446.45</v>
      </c>
      <c r="J170" t="s">
        <v>17</v>
      </c>
      <c r="K170" s="5">
        <v>0.09</v>
      </c>
      <c r="L170" t="s">
        <v>27</v>
      </c>
      <c r="M170" t="s">
        <v>19</v>
      </c>
      <c r="N170" t="s">
        <v>37</v>
      </c>
      <c r="O170" t="str">
        <f t="shared" si="6"/>
        <v>April</v>
      </c>
      <c r="P170">
        <f t="shared" si="7"/>
        <v>4</v>
      </c>
      <c r="Q170">
        <f t="shared" si="8"/>
        <v>2023</v>
      </c>
    </row>
    <row r="171" spans="1:17" x14ac:dyDescent="0.25">
      <c r="A171">
        <v>1013</v>
      </c>
      <c r="B171" s="1">
        <v>45220</v>
      </c>
      <c r="C171" t="s">
        <v>24</v>
      </c>
      <c r="D171" t="s">
        <v>34</v>
      </c>
      <c r="E171" s="4">
        <v>5039.07</v>
      </c>
      <c r="F171" s="2">
        <v>20</v>
      </c>
      <c r="G171" t="s">
        <v>35</v>
      </c>
      <c r="H171">
        <v>1533.36</v>
      </c>
      <c r="I171">
        <v>1649.73999999999</v>
      </c>
      <c r="J171" t="s">
        <v>17</v>
      </c>
      <c r="K171" s="5">
        <v>0.1</v>
      </c>
      <c r="L171" t="s">
        <v>27</v>
      </c>
      <c r="M171" t="s">
        <v>19</v>
      </c>
      <c r="N171" t="s">
        <v>50</v>
      </c>
      <c r="O171" t="str">
        <f t="shared" si="6"/>
        <v>October</v>
      </c>
      <c r="P171">
        <f t="shared" si="7"/>
        <v>10</v>
      </c>
      <c r="Q171">
        <f t="shared" si="8"/>
        <v>2023</v>
      </c>
    </row>
    <row r="172" spans="1:17" x14ac:dyDescent="0.25">
      <c r="A172">
        <v>1032</v>
      </c>
      <c r="B172" s="1">
        <v>45085</v>
      </c>
      <c r="C172" t="s">
        <v>38</v>
      </c>
      <c r="D172" t="s">
        <v>21</v>
      </c>
      <c r="E172" s="4">
        <v>219.82</v>
      </c>
      <c r="F172" s="2">
        <v>49</v>
      </c>
      <c r="G172" t="s">
        <v>35</v>
      </c>
      <c r="H172">
        <v>4812.41</v>
      </c>
      <c r="I172">
        <v>5088</v>
      </c>
      <c r="J172" t="s">
        <v>17</v>
      </c>
      <c r="K172" s="5">
        <v>0.09</v>
      </c>
      <c r="L172" t="s">
        <v>31</v>
      </c>
      <c r="M172" t="s">
        <v>19</v>
      </c>
      <c r="N172" t="s">
        <v>41</v>
      </c>
      <c r="O172" t="str">
        <f t="shared" si="6"/>
        <v>June</v>
      </c>
      <c r="P172">
        <f t="shared" si="7"/>
        <v>6</v>
      </c>
      <c r="Q172">
        <f t="shared" si="8"/>
        <v>2023</v>
      </c>
    </row>
    <row r="173" spans="1:17" x14ac:dyDescent="0.25">
      <c r="A173">
        <v>1071</v>
      </c>
      <c r="B173" s="1">
        <v>45229</v>
      </c>
      <c r="C173" t="s">
        <v>42</v>
      </c>
      <c r="D173" t="s">
        <v>21</v>
      </c>
      <c r="E173" s="4">
        <v>189.48</v>
      </c>
      <c r="F173" s="2">
        <v>22</v>
      </c>
      <c r="G173" t="s">
        <v>35</v>
      </c>
      <c r="H173">
        <v>2701.39</v>
      </c>
      <c r="I173">
        <v>3185.81</v>
      </c>
      <c r="J173" t="s">
        <v>30</v>
      </c>
      <c r="K173" s="5">
        <v>0.01</v>
      </c>
      <c r="L173" t="s">
        <v>27</v>
      </c>
      <c r="M173" t="s">
        <v>19</v>
      </c>
      <c r="N173" t="s">
        <v>51</v>
      </c>
      <c r="O173" t="str">
        <f t="shared" si="6"/>
        <v>October</v>
      </c>
      <c r="P173">
        <f t="shared" si="7"/>
        <v>10</v>
      </c>
      <c r="Q173">
        <f t="shared" si="8"/>
        <v>2023</v>
      </c>
    </row>
    <row r="174" spans="1:17" x14ac:dyDescent="0.25">
      <c r="A174">
        <v>1059</v>
      </c>
      <c r="B174" s="1">
        <v>45154</v>
      </c>
      <c r="C174" t="s">
        <v>42</v>
      </c>
      <c r="D174" t="s">
        <v>21</v>
      </c>
      <c r="E174" s="4">
        <v>3634.59</v>
      </c>
      <c r="F174" s="2">
        <v>21</v>
      </c>
      <c r="G174" t="s">
        <v>29</v>
      </c>
      <c r="H174">
        <v>3110.54</v>
      </c>
      <c r="I174">
        <v>3192.99</v>
      </c>
      <c r="J174" t="s">
        <v>30</v>
      </c>
      <c r="K174" s="5">
        <v>0.17</v>
      </c>
      <c r="L174" t="s">
        <v>31</v>
      </c>
      <c r="M174" t="s">
        <v>19</v>
      </c>
      <c r="N174" t="s">
        <v>51</v>
      </c>
      <c r="O174" t="str">
        <f t="shared" si="6"/>
        <v>August</v>
      </c>
      <c r="P174">
        <f t="shared" si="7"/>
        <v>8</v>
      </c>
      <c r="Q174">
        <f t="shared" si="8"/>
        <v>2023</v>
      </c>
    </row>
    <row r="175" spans="1:17" x14ac:dyDescent="0.25">
      <c r="A175">
        <v>1086</v>
      </c>
      <c r="B175" s="1">
        <v>45291</v>
      </c>
      <c r="C175" t="s">
        <v>42</v>
      </c>
      <c r="D175" t="s">
        <v>25</v>
      </c>
      <c r="E175" s="4">
        <v>9269.32</v>
      </c>
      <c r="F175" s="2">
        <v>33</v>
      </c>
      <c r="G175" t="s">
        <v>29</v>
      </c>
      <c r="H175">
        <v>3419.33</v>
      </c>
      <c r="I175">
        <v>3890.3599999999901</v>
      </c>
      <c r="J175" t="s">
        <v>17</v>
      </c>
      <c r="K175" s="5">
        <v>0.21</v>
      </c>
      <c r="L175" t="s">
        <v>18</v>
      </c>
      <c r="M175" t="s">
        <v>22</v>
      </c>
      <c r="N175" t="s">
        <v>43</v>
      </c>
      <c r="O175" t="str">
        <f t="shared" si="6"/>
        <v>December</v>
      </c>
      <c r="P175">
        <f t="shared" si="7"/>
        <v>12</v>
      </c>
      <c r="Q175">
        <f t="shared" si="8"/>
        <v>2023</v>
      </c>
    </row>
    <row r="176" spans="1:17" x14ac:dyDescent="0.25">
      <c r="A176">
        <v>1028</v>
      </c>
      <c r="B176" s="1">
        <v>45142</v>
      </c>
      <c r="C176" t="s">
        <v>42</v>
      </c>
      <c r="D176" t="s">
        <v>15</v>
      </c>
      <c r="E176" s="4">
        <v>2363.9</v>
      </c>
      <c r="F176" s="2">
        <v>38</v>
      </c>
      <c r="G176" t="s">
        <v>29</v>
      </c>
      <c r="H176">
        <v>3350.32</v>
      </c>
      <c r="I176">
        <v>3449.94</v>
      </c>
      <c r="J176" t="s">
        <v>30</v>
      </c>
      <c r="K176" s="5">
        <v>0.26</v>
      </c>
      <c r="L176" t="s">
        <v>18</v>
      </c>
      <c r="M176" t="s">
        <v>19</v>
      </c>
      <c r="N176" t="s">
        <v>49</v>
      </c>
      <c r="O176" t="str">
        <f t="shared" si="6"/>
        <v>August</v>
      </c>
      <c r="P176">
        <f t="shared" si="7"/>
        <v>8</v>
      </c>
      <c r="Q176">
        <f t="shared" si="8"/>
        <v>2023</v>
      </c>
    </row>
    <row r="177" spans="1:17" x14ac:dyDescent="0.25">
      <c r="A177">
        <v>1066</v>
      </c>
      <c r="B177" s="1">
        <v>45110</v>
      </c>
      <c r="C177" t="s">
        <v>33</v>
      </c>
      <c r="D177" t="s">
        <v>15</v>
      </c>
      <c r="E177" s="4">
        <v>6380.2</v>
      </c>
      <c r="F177" s="2">
        <v>15</v>
      </c>
      <c r="G177" t="s">
        <v>16</v>
      </c>
      <c r="H177">
        <v>2579.31</v>
      </c>
      <c r="I177">
        <v>2867.36</v>
      </c>
      <c r="J177" t="s">
        <v>17</v>
      </c>
      <c r="K177" s="5">
        <v>0.04</v>
      </c>
      <c r="L177" t="s">
        <v>27</v>
      </c>
      <c r="M177" t="s">
        <v>22</v>
      </c>
      <c r="N177" t="s">
        <v>53</v>
      </c>
      <c r="O177" t="str">
        <f t="shared" si="6"/>
        <v>July</v>
      </c>
      <c r="P177">
        <f t="shared" si="7"/>
        <v>7</v>
      </c>
      <c r="Q177">
        <f t="shared" si="8"/>
        <v>2023</v>
      </c>
    </row>
    <row r="178" spans="1:17" x14ac:dyDescent="0.25">
      <c r="A178">
        <v>1042</v>
      </c>
      <c r="B178" s="1">
        <v>44941</v>
      </c>
      <c r="C178" t="s">
        <v>24</v>
      </c>
      <c r="D178" t="s">
        <v>25</v>
      </c>
      <c r="E178" s="4">
        <v>2298.5500000000002</v>
      </c>
      <c r="F178" s="2">
        <v>46</v>
      </c>
      <c r="G178" t="s">
        <v>16</v>
      </c>
      <c r="H178">
        <v>2172.38</v>
      </c>
      <c r="I178">
        <v>2367.11</v>
      </c>
      <c r="J178" t="s">
        <v>30</v>
      </c>
      <c r="K178" s="5">
        <v>0.16</v>
      </c>
      <c r="L178" t="s">
        <v>18</v>
      </c>
      <c r="M178" t="s">
        <v>22</v>
      </c>
      <c r="N178" t="s">
        <v>28</v>
      </c>
      <c r="O178" t="str">
        <f t="shared" si="6"/>
        <v>January</v>
      </c>
      <c r="P178">
        <f t="shared" si="7"/>
        <v>1</v>
      </c>
      <c r="Q178">
        <f t="shared" si="8"/>
        <v>2023</v>
      </c>
    </row>
    <row r="179" spans="1:17" x14ac:dyDescent="0.25">
      <c r="A179">
        <v>1045</v>
      </c>
      <c r="B179" s="1">
        <v>45083</v>
      </c>
      <c r="C179" t="s">
        <v>14</v>
      </c>
      <c r="D179" t="s">
        <v>25</v>
      </c>
      <c r="E179" s="4">
        <v>3284.53</v>
      </c>
      <c r="F179" s="2">
        <v>15</v>
      </c>
      <c r="G179" t="s">
        <v>35</v>
      </c>
      <c r="H179">
        <v>316.22000000000003</v>
      </c>
      <c r="I179">
        <v>799.04</v>
      </c>
      <c r="J179" t="s">
        <v>30</v>
      </c>
      <c r="K179" s="5">
        <v>0</v>
      </c>
      <c r="L179" t="s">
        <v>27</v>
      </c>
      <c r="M179" t="s">
        <v>19</v>
      </c>
      <c r="N179" t="s">
        <v>32</v>
      </c>
      <c r="O179" t="str">
        <f t="shared" si="6"/>
        <v>June</v>
      </c>
      <c r="P179">
        <f t="shared" si="7"/>
        <v>6</v>
      </c>
      <c r="Q179">
        <f t="shared" si="8"/>
        <v>2023</v>
      </c>
    </row>
    <row r="180" spans="1:17" x14ac:dyDescent="0.25">
      <c r="A180">
        <v>1062</v>
      </c>
      <c r="B180" s="1">
        <v>45062</v>
      </c>
      <c r="C180" t="s">
        <v>33</v>
      </c>
      <c r="D180" t="s">
        <v>15</v>
      </c>
      <c r="E180" s="4">
        <v>8495.6200000000008</v>
      </c>
      <c r="F180" s="2">
        <v>46</v>
      </c>
      <c r="G180" t="s">
        <v>16</v>
      </c>
      <c r="H180">
        <v>159.32</v>
      </c>
      <c r="I180">
        <v>303.36</v>
      </c>
      <c r="J180" t="s">
        <v>30</v>
      </c>
      <c r="K180" s="5">
        <v>0.03</v>
      </c>
      <c r="L180" t="s">
        <v>18</v>
      </c>
      <c r="M180" t="s">
        <v>22</v>
      </c>
      <c r="N180" t="s">
        <v>53</v>
      </c>
      <c r="O180" t="str">
        <f t="shared" si="6"/>
        <v>May</v>
      </c>
      <c r="P180">
        <f t="shared" si="7"/>
        <v>5</v>
      </c>
      <c r="Q180">
        <f t="shared" si="8"/>
        <v>2023</v>
      </c>
    </row>
    <row r="181" spans="1:17" x14ac:dyDescent="0.25">
      <c r="A181">
        <v>1057</v>
      </c>
      <c r="B181" s="1">
        <v>45187</v>
      </c>
      <c r="C181" t="s">
        <v>33</v>
      </c>
      <c r="D181" t="s">
        <v>21</v>
      </c>
      <c r="E181" s="4">
        <v>7315.73</v>
      </c>
      <c r="F181" s="2">
        <v>25</v>
      </c>
      <c r="G181" t="s">
        <v>26</v>
      </c>
      <c r="H181">
        <v>1821.91</v>
      </c>
      <c r="I181">
        <v>2027.74</v>
      </c>
      <c r="J181" t="s">
        <v>30</v>
      </c>
      <c r="K181" s="5">
        <v>0.02</v>
      </c>
      <c r="L181" t="s">
        <v>27</v>
      </c>
      <c r="M181" t="s">
        <v>22</v>
      </c>
      <c r="N181" t="s">
        <v>37</v>
      </c>
      <c r="O181" t="str">
        <f t="shared" si="6"/>
        <v>September</v>
      </c>
      <c r="P181">
        <f t="shared" si="7"/>
        <v>9</v>
      </c>
      <c r="Q181">
        <f t="shared" si="8"/>
        <v>2023</v>
      </c>
    </row>
    <row r="182" spans="1:17" x14ac:dyDescent="0.25">
      <c r="A182">
        <v>1006</v>
      </c>
      <c r="B182" s="1">
        <v>45083</v>
      </c>
      <c r="C182" t="s">
        <v>14</v>
      </c>
      <c r="D182" t="s">
        <v>34</v>
      </c>
      <c r="E182" s="4">
        <v>1044.45</v>
      </c>
      <c r="F182" s="2">
        <v>21</v>
      </c>
      <c r="G182" t="s">
        <v>35</v>
      </c>
      <c r="H182">
        <v>1701.62</v>
      </c>
      <c r="I182">
        <v>2193.2199999999998</v>
      </c>
      <c r="J182" t="s">
        <v>30</v>
      </c>
      <c r="K182" s="5">
        <v>0.22</v>
      </c>
      <c r="L182" t="s">
        <v>27</v>
      </c>
      <c r="M182" t="s">
        <v>22</v>
      </c>
      <c r="N182" t="s">
        <v>46</v>
      </c>
      <c r="O182" t="str">
        <f t="shared" si="6"/>
        <v>June</v>
      </c>
      <c r="P182">
        <f t="shared" si="7"/>
        <v>6</v>
      </c>
      <c r="Q182">
        <f t="shared" si="8"/>
        <v>2023</v>
      </c>
    </row>
    <row r="183" spans="1:17" x14ac:dyDescent="0.25">
      <c r="A183">
        <v>1028</v>
      </c>
      <c r="B183" s="1">
        <v>44973</v>
      </c>
      <c r="C183" t="s">
        <v>14</v>
      </c>
      <c r="D183" t="s">
        <v>34</v>
      </c>
      <c r="E183" s="4">
        <v>4344.1499999999996</v>
      </c>
      <c r="F183" s="2">
        <v>24</v>
      </c>
      <c r="G183" t="s">
        <v>35</v>
      </c>
      <c r="H183">
        <v>1969.09</v>
      </c>
      <c r="I183">
        <v>2241.96</v>
      </c>
      <c r="J183" t="s">
        <v>17</v>
      </c>
      <c r="K183" s="5">
        <v>0.02</v>
      </c>
      <c r="L183" t="s">
        <v>31</v>
      </c>
      <c r="M183" t="s">
        <v>19</v>
      </c>
      <c r="N183" t="s">
        <v>46</v>
      </c>
      <c r="O183" t="str">
        <f t="shared" si="6"/>
        <v>February</v>
      </c>
      <c r="P183">
        <f t="shared" si="7"/>
        <v>2</v>
      </c>
      <c r="Q183">
        <f t="shared" si="8"/>
        <v>2023</v>
      </c>
    </row>
    <row r="184" spans="1:17" x14ac:dyDescent="0.25">
      <c r="A184">
        <v>1028</v>
      </c>
      <c r="B184" s="1">
        <v>45250</v>
      </c>
      <c r="C184" t="s">
        <v>42</v>
      </c>
      <c r="D184" t="s">
        <v>34</v>
      </c>
      <c r="E184" s="4">
        <v>388.78</v>
      </c>
      <c r="F184" s="2">
        <v>5</v>
      </c>
      <c r="G184" t="s">
        <v>26</v>
      </c>
      <c r="H184">
        <v>734.92</v>
      </c>
      <c r="I184">
        <v>991.21</v>
      </c>
      <c r="J184" t="s">
        <v>17</v>
      </c>
      <c r="K184" s="5">
        <v>0.21</v>
      </c>
      <c r="L184" t="s">
        <v>31</v>
      </c>
      <c r="M184" t="s">
        <v>19</v>
      </c>
      <c r="N184" t="s">
        <v>52</v>
      </c>
      <c r="O184" t="str">
        <f t="shared" si="6"/>
        <v>November</v>
      </c>
      <c r="P184">
        <f t="shared" si="7"/>
        <v>11</v>
      </c>
      <c r="Q184">
        <f t="shared" si="8"/>
        <v>2023</v>
      </c>
    </row>
    <row r="185" spans="1:17" x14ac:dyDescent="0.25">
      <c r="A185">
        <v>1044</v>
      </c>
      <c r="B185" s="1">
        <v>45258</v>
      </c>
      <c r="C185" t="s">
        <v>33</v>
      </c>
      <c r="D185" t="s">
        <v>21</v>
      </c>
      <c r="E185" s="4">
        <v>4860.8100000000004</v>
      </c>
      <c r="F185" s="2">
        <v>6</v>
      </c>
      <c r="G185" t="s">
        <v>35</v>
      </c>
      <c r="H185">
        <v>3703.93</v>
      </c>
      <c r="I185">
        <v>3840.24</v>
      </c>
      <c r="J185" t="s">
        <v>30</v>
      </c>
      <c r="K185" s="5">
        <v>7.0000000000000007E-2</v>
      </c>
      <c r="L185" t="s">
        <v>31</v>
      </c>
      <c r="M185" t="s">
        <v>19</v>
      </c>
      <c r="N185" t="s">
        <v>37</v>
      </c>
      <c r="O185" t="str">
        <f t="shared" si="6"/>
        <v>November</v>
      </c>
      <c r="P185">
        <f t="shared" si="7"/>
        <v>11</v>
      </c>
      <c r="Q185">
        <f t="shared" si="8"/>
        <v>2023</v>
      </c>
    </row>
    <row r="186" spans="1:17" x14ac:dyDescent="0.25">
      <c r="A186">
        <v>1084</v>
      </c>
      <c r="B186" s="1">
        <v>45099</v>
      </c>
      <c r="C186" t="s">
        <v>38</v>
      </c>
      <c r="D186" t="s">
        <v>15</v>
      </c>
      <c r="E186" s="4">
        <v>6658.1</v>
      </c>
      <c r="F186" s="2">
        <v>49</v>
      </c>
      <c r="G186" t="s">
        <v>16</v>
      </c>
      <c r="H186">
        <v>4291.97</v>
      </c>
      <c r="I186">
        <v>4645.6400000000003</v>
      </c>
      <c r="J186" t="s">
        <v>17</v>
      </c>
      <c r="K186" s="5">
        <v>0.26</v>
      </c>
      <c r="L186" t="s">
        <v>31</v>
      </c>
      <c r="M186" t="s">
        <v>19</v>
      </c>
      <c r="N186" t="s">
        <v>40</v>
      </c>
      <c r="O186" t="str">
        <f t="shared" si="6"/>
        <v>June</v>
      </c>
      <c r="P186">
        <f t="shared" si="7"/>
        <v>6</v>
      </c>
      <c r="Q186">
        <f t="shared" si="8"/>
        <v>2023</v>
      </c>
    </row>
    <row r="187" spans="1:17" x14ac:dyDescent="0.25">
      <c r="A187">
        <v>1030</v>
      </c>
      <c r="B187" s="1">
        <v>45056</v>
      </c>
      <c r="C187" t="s">
        <v>14</v>
      </c>
      <c r="D187" t="s">
        <v>25</v>
      </c>
      <c r="E187" s="4">
        <v>1273.18</v>
      </c>
      <c r="F187" s="2">
        <v>43</v>
      </c>
      <c r="G187" t="s">
        <v>29</v>
      </c>
      <c r="H187">
        <v>4696.6400000000003</v>
      </c>
      <c r="I187">
        <v>4713.68</v>
      </c>
      <c r="J187" t="s">
        <v>17</v>
      </c>
      <c r="K187" s="5">
        <v>0.24</v>
      </c>
      <c r="L187" t="s">
        <v>27</v>
      </c>
      <c r="M187" t="s">
        <v>19</v>
      </c>
      <c r="N187" t="s">
        <v>32</v>
      </c>
      <c r="O187" t="str">
        <f t="shared" si="6"/>
        <v>May</v>
      </c>
      <c r="P187">
        <f t="shared" si="7"/>
        <v>5</v>
      </c>
      <c r="Q187">
        <f t="shared" si="8"/>
        <v>2023</v>
      </c>
    </row>
    <row r="188" spans="1:17" x14ac:dyDescent="0.25">
      <c r="A188">
        <v>1062</v>
      </c>
      <c r="B188" s="1">
        <v>45021</v>
      </c>
      <c r="C188" t="s">
        <v>14</v>
      </c>
      <c r="D188" t="s">
        <v>15</v>
      </c>
      <c r="E188" s="4">
        <v>2959.96</v>
      </c>
      <c r="F188" s="2">
        <v>48</v>
      </c>
      <c r="G188" t="s">
        <v>26</v>
      </c>
      <c r="H188">
        <v>2487.19</v>
      </c>
      <c r="I188">
        <v>2521.4499999999998</v>
      </c>
      <c r="J188" t="s">
        <v>30</v>
      </c>
      <c r="K188" s="5">
        <v>0.28999999999999998</v>
      </c>
      <c r="L188" t="s">
        <v>18</v>
      </c>
      <c r="M188" t="s">
        <v>19</v>
      </c>
      <c r="N188" t="s">
        <v>20</v>
      </c>
      <c r="O188" t="str">
        <f t="shared" si="6"/>
        <v>April</v>
      </c>
      <c r="P188">
        <f t="shared" si="7"/>
        <v>4</v>
      </c>
      <c r="Q188">
        <f t="shared" si="8"/>
        <v>2023</v>
      </c>
    </row>
    <row r="189" spans="1:17" x14ac:dyDescent="0.25">
      <c r="A189">
        <v>1075</v>
      </c>
      <c r="B189" s="1">
        <v>45041</v>
      </c>
      <c r="C189" t="s">
        <v>24</v>
      </c>
      <c r="D189" t="s">
        <v>21</v>
      </c>
      <c r="E189" s="4">
        <v>4038.58</v>
      </c>
      <c r="F189" s="2">
        <v>44</v>
      </c>
      <c r="G189" t="s">
        <v>16</v>
      </c>
      <c r="H189">
        <v>3519.29</v>
      </c>
      <c r="I189">
        <v>3822.98</v>
      </c>
      <c r="J189" t="s">
        <v>17</v>
      </c>
      <c r="K189" s="5">
        <v>0.27</v>
      </c>
      <c r="L189" t="s">
        <v>27</v>
      </c>
      <c r="M189" t="s">
        <v>19</v>
      </c>
      <c r="N189" t="s">
        <v>47</v>
      </c>
      <c r="O189" t="str">
        <f t="shared" si="6"/>
        <v>April</v>
      </c>
      <c r="P189">
        <f t="shared" si="7"/>
        <v>4</v>
      </c>
      <c r="Q189">
        <f t="shared" si="8"/>
        <v>2023</v>
      </c>
    </row>
    <row r="190" spans="1:17" x14ac:dyDescent="0.25">
      <c r="A190">
        <v>1092</v>
      </c>
      <c r="B190" s="1">
        <v>45169</v>
      </c>
      <c r="C190" t="s">
        <v>38</v>
      </c>
      <c r="D190" t="s">
        <v>25</v>
      </c>
      <c r="E190" s="4">
        <v>9203.36</v>
      </c>
      <c r="F190" s="2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 s="5">
        <v>0.28000000000000003</v>
      </c>
      <c r="L190" t="s">
        <v>31</v>
      </c>
      <c r="M190" t="s">
        <v>22</v>
      </c>
      <c r="N190" t="s">
        <v>39</v>
      </c>
      <c r="O190" t="str">
        <f t="shared" si="6"/>
        <v>August</v>
      </c>
      <c r="P190">
        <f t="shared" si="7"/>
        <v>8</v>
      </c>
      <c r="Q190">
        <f t="shared" si="8"/>
        <v>2023</v>
      </c>
    </row>
    <row r="191" spans="1:17" x14ac:dyDescent="0.25">
      <c r="A191">
        <v>1089</v>
      </c>
      <c r="B191" s="1">
        <v>45218</v>
      </c>
      <c r="C191" t="s">
        <v>38</v>
      </c>
      <c r="D191" t="s">
        <v>21</v>
      </c>
      <c r="E191" s="4">
        <v>9933.2199999999993</v>
      </c>
      <c r="F191" s="2">
        <v>23</v>
      </c>
      <c r="G191" t="s">
        <v>26</v>
      </c>
      <c r="H191">
        <v>2120.54</v>
      </c>
      <c r="I191">
        <v>2597.67</v>
      </c>
      <c r="J191" t="s">
        <v>17</v>
      </c>
      <c r="K191" s="5">
        <v>0.26</v>
      </c>
      <c r="L191" t="s">
        <v>31</v>
      </c>
      <c r="M191" t="s">
        <v>22</v>
      </c>
      <c r="N191" t="s">
        <v>41</v>
      </c>
      <c r="O191" t="str">
        <f t="shared" si="6"/>
        <v>October</v>
      </c>
      <c r="P191">
        <f t="shared" si="7"/>
        <v>10</v>
      </c>
      <c r="Q191">
        <f t="shared" si="8"/>
        <v>2023</v>
      </c>
    </row>
    <row r="192" spans="1:17" x14ac:dyDescent="0.25">
      <c r="A192">
        <v>1062</v>
      </c>
      <c r="B192" s="1">
        <v>45208</v>
      </c>
      <c r="C192" t="s">
        <v>14</v>
      </c>
      <c r="D192" t="s">
        <v>34</v>
      </c>
      <c r="E192" s="4">
        <v>544.62</v>
      </c>
      <c r="F192" s="2">
        <v>4</v>
      </c>
      <c r="G192" t="s">
        <v>35</v>
      </c>
      <c r="H192">
        <v>1581.59</v>
      </c>
      <c r="I192">
        <v>2034.1499999999901</v>
      </c>
      <c r="J192" t="s">
        <v>17</v>
      </c>
      <c r="K192" s="5">
        <v>0.21</v>
      </c>
      <c r="L192" t="s">
        <v>18</v>
      </c>
      <c r="M192" t="s">
        <v>19</v>
      </c>
      <c r="N192" t="s">
        <v>46</v>
      </c>
      <c r="O192" t="str">
        <f t="shared" si="6"/>
        <v>October</v>
      </c>
      <c r="P192">
        <f t="shared" si="7"/>
        <v>10</v>
      </c>
      <c r="Q192">
        <f t="shared" si="8"/>
        <v>2023</v>
      </c>
    </row>
    <row r="193" spans="1:17" x14ac:dyDescent="0.25">
      <c r="A193">
        <v>1097</v>
      </c>
      <c r="B193" s="1">
        <v>45225</v>
      </c>
      <c r="C193" t="s">
        <v>42</v>
      </c>
      <c r="D193" t="s">
        <v>34</v>
      </c>
      <c r="E193" s="4">
        <v>7633.98</v>
      </c>
      <c r="F193" s="2">
        <v>27</v>
      </c>
      <c r="G193" t="s">
        <v>35</v>
      </c>
      <c r="H193">
        <v>4686.79</v>
      </c>
      <c r="I193">
        <v>5046.51</v>
      </c>
      <c r="J193" t="s">
        <v>17</v>
      </c>
      <c r="K193" s="5">
        <v>0.05</v>
      </c>
      <c r="L193" t="s">
        <v>31</v>
      </c>
      <c r="M193" t="s">
        <v>22</v>
      </c>
      <c r="N193" t="s">
        <v>52</v>
      </c>
      <c r="O193" t="str">
        <f t="shared" si="6"/>
        <v>October</v>
      </c>
      <c r="P193">
        <f t="shared" si="7"/>
        <v>10</v>
      </c>
      <c r="Q193">
        <f t="shared" si="8"/>
        <v>2023</v>
      </c>
    </row>
    <row r="194" spans="1:17" x14ac:dyDescent="0.25">
      <c r="A194">
        <v>1001</v>
      </c>
      <c r="B194" s="1">
        <v>45209</v>
      </c>
      <c r="C194" t="s">
        <v>24</v>
      </c>
      <c r="D194" t="s">
        <v>21</v>
      </c>
      <c r="E194" s="4">
        <v>3780.07</v>
      </c>
      <c r="F194" s="2">
        <v>18</v>
      </c>
      <c r="G194" t="s">
        <v>16</v>
      </c>
      <c r="H194">
        <v>2602.6</v>
      </c>
      <c r="I194">
        <v>3013.49</v>
      </c>
      <c r="J194" t="s">
        <v>17</v>
      </c>
      <c r="K194" s="5">
        <v>0.08</v>
      </c>
      <c r="L194" t="s">
        <v>27</v>
      </c>
      <c r="M194" t="s">
        <v>19</v>
      </c>
      <c r="N194" t="s">
        <v>47</v>
      </c>
      <c r="O194" t="str">
        <f t="shared" ref="O194:O257" si="9">TEXT(B194,"mmmm")</f>
        <v>October</v>
      </c>
      <c r="P194">
        <f t="shared" ref="P194:P257" si="10">MONTH(B194)</f>
        <v>10</v>
      </c>
      <c r="Q194">
        <f t="shared" ref="Q194:Q257" si="11">YEAR(B194)</f>
        <v>2023</v>
      </c>
    </row>
    <row r="195" spans="1:17" x14ac:dyDescent="0.25">
      <c r="A195">
        <v>1027</v>
      </c>
      <c r="B195" s="1">
        <v>44995</v>
      </c>
      <c r="C195" t="s">
        <v>38</v>
      </c>
      <c r="D195" t="s">
        <v>25</v>
      </c>
      <c r="E195" s="4">
        <v>3985.34</v>
      </c>
      <c r="F195" s="2">
        <v>21</v>
      </c>
      <c r="G195" t="s">
        <v>26</v>
      </c>
      <c r="H195">
        <v>2511.41</v>
      </c>
      <c r="I195">
        <v>2848.3999999999901</v>
      </c>
      <c r="J195" t="s">
        <v>17</v>
      </c>
      <c r="K195" s="5">
        <v>0.06</v>
      </c>
      <c r="L195" t="s">
        <v>27</v>
      </c>
      <c r="M195" t="s">
        <v>19</v>
      </c>
      <c r="N195" t="s">
        <v>39</v>
      </c>
      <c r="O195" t="str">
        <f t="shared" si="9"/>
        <v>March</v>
      </c>
      <c r="P195">
        <f t="shared" si="10"/>
        <v>3</v>
      </c>
      <c r="Q195">
        <f t="shared" si="11"/>
        <v>2023</v>
      </c>
    </row>
    <row r="196" spans="1:17" x14ac:dyDescent="0.25">
      <c r="A196">
        <v>1062</v>
      </c>
      <c r="B196" s="1">
        <v>45074</v>
      </c>
      <c r="C196" t="s">
        <v>14</v>
      </c>
      <c r="D196" t="s">
        <v>25</v>
      </c>
      <c r="E196" s="4">
        <v>7567.22</v>
      </c>
      <c r="F196" s="2">
        <v>28</v>
      </c>
      <c r="G196" t="s">
        <v>35</v>
      </c>
      <c r="H196">
        <v>933.16</v>
      </c>
      <c r="I196">
        <v>1004.69999999999</v>
      </c>
      <c r="J196" t="s">
        <v>17</v>
      </c>
      <c r="K196" s="5">
        <v>0.18</v>
      </c>
      <c r="L196" t="s">
        <v>27</v>
      </c>
      <c r="M196" t="s">
        <v>19</v>
      </c>
      <c r="N196" t="s">
        <v>32</v>
      </c>
      <c r="O196" t="str">
        <f t="shared" si="9"/>
        <v>May</v>
      </c>
      <c r="P196">
        <f t="shared" si="10"/>
        <v>5</v>
      </c>
      <c r="Q196">
        <f t="shared" si="11"/>
        <v>2023</v>
      </c>
    </row>
    <row r="197" spans="1:17" x14ac:dyDescent="0.25">
      <c r="A197">
        <v>1077</v>
      </c>
      <c r="B197" s="1">
        <v>44937</v>
      </c>
      <c r="C197" t="s">
        <v>38</v>
      </c>
      <c r="D197" t="s">
        <v>15</v>
      </c>
      <c r="E197" s="4">
        <v>9192.42</v>
      </c>
      <c r="F197" s="2">
        <v>35</v>
      </c>
      <c r="G197" t="s">
        <v>35</v>
      </c>
      <c r="H197">
        <v>585.37</v>
      </c>
      <c r="I197">
        <v>970.49</v>
      </c>
      <c r="J197" t="s">
        <v>17</v>
      </c>
      <c r="K197" s="5">
        <v>0.15</v>
      </c>
      <c r="L197" t="s">
        <v>27</v>
      </c>
      <c r="M197" t="s">
        <v>22</v>
      </c>
      <c r="N197" t="s">
        <v>40</v>
      </c>
      <c r="O197" t="str">
        <f t="shared" si="9"/>
        <v>January</v>
      </c>
      <c r="P197">
        <f t="shared" si="10"/>
        <v>1</v>
      </c>
      <c r="Q197">
        <f t="shared" si="11"/>
        <v>2023</v>
      </c>
    </row>
    <row r="198" spans="1:17" x14ac:dyDescent="0.25">
      <c r="A198">
        <v>1003</v>
      </c>
      <c r="B198" s="1">
        <v>45180</v>
      </c>
      <c r="C198" t="s">
        <v>24</v>
      </c>
      <c r="D198" t="s">
        <v>34</v>
      </c>
      <c r="E198" s="4">
        <v>9514.19</v>
      </c>
      <c r="F198" s="2">
        <v>22</v>
      </c>
      <c r="G198" t="s">
        <v>26</v>
      </c>
      <c r="H198">
        <v>4218.43</v>
      </c>
      <c r="I198">
        <v>4331.42</v>
      </c>
      <c r="J198" t="s">
        <v>30</v>
      </c>
      <c r="K198" s="5">
        <v>0.26</v>
      </c>
      <c r="L198" t="s">
        <v>27</v>
      </c>
      <c r="M198" t="s">
        <v>19</v>
      </c>
      <c r="N198" t="s">
        <v>50</v>
      </c>
      <c r="O198" t="str">
        <f t="shared" si="9"/>
        <v>September</v>
      </c>
      <c r="P198">
        <f t="shared" si="10"/>
        <v>9</v>
      </c>
      <c r="Q198">
        <f t="shared" si="11"/>
        <v>2023</v>
      </c>
    </row>
    <row r="199" spans="1:17" x14ac:dyDescent="0.25">
      <c r="A199">
        <v>1070</v>
      </c>
      <c r="B199" s="1">
        <v>45256</v>
      </c>
      <c r="C199" t="s">
        <v>24</v>
      </c>
      <c r="D199" t="s">
        <v>15</v>
      </c>
      <c r="E199" s="4">
        <v>5813.51</v>
      </c>
      <c r="F199" s="2">
        <v>40</v>
      </c>
      <c r="G199" t="s">
        <v>16</v>
      </c>
      <c r="H199">
        <v>3089.96</v>
      </c>
      <c r="I199">
        <v>3258.45</v>
      </c>
      <c r="J199" t="s">
        <v>30</v>
      </c>
      <c r="K199" s="5">
        <v>0.28999999999999998</v>
      </c>
      <c r="L199" t="s">
        <v>18</v>
      </c>
      <c r="M199" t="s">
        <v>19</v>
      </c>
      <c r="N199" t="s">
        <v>45</v>
      </c>
      <c r="O199" t="str">
        <f t="shared" si="9"/>
        <v>November</v>
      </c>
      <c r="P199">
        <f t="shared" si="10"/>
        <v>11</v>
      </c>
      <c r="Q199">
        <f t="shared" si="11"/>
        <v>2023</v>
      </c>
    </row>
    <row r="200" spans="1:17" x14ac:dyDescent="0.25">
      <c r="A200">
        <v>1072</v>
      </c>
      <c r="B200" s="1">
        <v>45286</v>
      </c>
      <c r="C200" t="s">
        <v>33</v>
      </c>
      <c r="D200" t="s">
        <v>15</v>
      </c>
      <c r="E200" s="4">
        <v>3635.5</v>
      </c>
      <c r="F200" s="2">
        <v>23</v>
      </c>
      <c r="G200" t="s">
        <v>16</v>
      </c>
      <c r="H200">
        <v>1662.83</v>
      </c>
      <c r="I200">
        <v>2074.25</v>
      </c>
      <c r="J200" t="s">
        <v>30</v>
      </c>
      <c r="K200" s="5">
        <v>0.12</v>
      </c>
      <c r="L200" t="s">
        <v>27</v>
      </c>
      <c r="M200" t="s">
        <v>19</v>
      </c>
      <c r="N200" t="s">
        <v>53</v>
      </c>
      <c r="O200" t="str">
        <f t="shared" si="9"/>
        <v>December</v>
      </c>
      <c r="P200">
        <f t="shared" si="10"/>
        <v>12</v>
      </c>
      <c r="Q200">
        <f t="shared" si="11"/>
        <v>2023</v>
      </c>
    </row>
    <row r="201" spans="1:17" x14ac:dyDescent="0.25">
      <c r="A201">
        <v>1027</v>
      </c>
      <c r="B201" s="1">
        <v>44964</v>
      </c>
      <c r="C201" t="s">
        <v>14</v>
      </c>
      <c r="D201" t="s">
        <v>21</v>
      </c>
      <c r="E201" s="4">
        <v>7896.74</v>
      </c>
      <c r="F201" s="2">
        <v>3</v>
      </c>
      <c r="G201" t="s">
        <v>26</v>
      </c>
      <c r="H201">
        <v>999.09</v>
      </c>
      <c r="I201">
        <v>1271.99</v>
      </c>
      <c r="J201" t="s">
        <v>30</v>
      </c>
      <c r="K201" s="5">
        <v>0.15</v>
      </c>
      <c r="L201" t="s">
        <v>31</v>
      </c>
      <c r="M201" t="s">
        <v>19</v>
      </c>
      <c r="N201" t="s">
        <v>23</v>
      </c>
      <c r="O201" t="str">
        <f t="shared" si="9"/>
        <v>February</v>
      </c>
      <c r="P201">
        <f t="shared" si="10"/>
        <v>2</v>
      </c>
      <c r="Q201">
        <f t="shared" si="11"/>
        <v>2023</v>
      </c>
    </row>
    <row r="202" spans="1:17" x14ac:dyDescent="0.25">
      <c r="A202">
        <v>1009</v>
      </c>
      <c r="B202" s="1">
        <v>45060</v>
      </c>
      <c r="C202" t="s">
        <v>24</v>
      </c>
      <c r="D202" t="s">
        <v>21</v>
      </c>
      <c r="E202" s="4">
        <v>2584.91</v>
      </c>
      <c r="F202" s="2">
        <v>40</v>
      </c>
      <c r="G202" t="s">
        <v>16</v>
      </c>
      <c r="H202">
        <v>2799.71</v>
      </c>
      <c r="I202">
        <v>3231.08</v>
      </c>
      <c r="J202" t="s">
        <v>17</v>
      </c>
      <c r="K202" s="5">
        <v>0.28999999999999998</v>
      </c>
      <c r="L202" t="s">
        <v>31</v>
      </c>
      <c r="M202" t="s">
        <v>22</v>
      </c>
      <c r="N202" t="s">
        <v>47</v>
      </c>
      <c r="O202" t="str">
        <f t="shared" si="9"/>
        <v>May</v>
      </c>
      <c r="P202">
        <f t="shared" si="10"/>
        <v>5</v>
      </c>
      <c r="Q202">
        <f t="shared" si="11"/>
        <v>2023</v>
      </c>
    </row>
    <row r="203" spans="1:17" x14ac:dyDescent="0.25">
      <c r="A203">
        <v>1062</v>
      </c>
      <c r="B203" s="1">
        <v>45126</v>
      </c>
      <c r="C203" t="s">
        <v>33</v>
      </c>
      <c r="D203" t="s">
        <v>15</v>
      </c>
      <c r="E203" s="4">
        <v>5684.33</v>
      </c>
      <c r="F203" s="2">
        <v>10</v>
      </c>
      <c r="G203" t="s">
        <v>35</v>
      </c>
      <c r="H203">
        <v>2940.4</v>
      </c>
      <c r="I203">
        <v>3054.79</v>
      </c>
      <c r="J203" t="s">
        <v>17</v>
      </c>
      <c r="K203" s="5">
        <v>0.08</v>
      </c>
      <c r="L203" t="s">
        <v>31</v>
      </c>
      <c r="M203" t="s">
        <v>19</v>
      </c>
      <c r="N203" t="s">
        <v>53</v>
      </c>
      <c r="O203" t="str">
        <f t="shared" si="9"/>
        <v>July</v>
      </c>
      <c r="P203">
        <f t="shared" si="10"/>
        <v>7</v>
      </c>
      <c r="Q203">
        <f t="shared" si="11"/>
        <v>2023</v>
      </c>
    </row>
    <row r="204" spans="1:17" x14ac:dyDescent="0.25">
      <c r="A204">
        <v>1037</v>
      </c>
      <c r="B204" s="1">
        <v>44949</v>
      </c>
      <c r="C204" t="s">
        <v>33</v>
      </c>
      <c r="D204" t="s">
        <v>34</v>
      </c>
      <c r="E204" s="4">
        <v>3649.93</v>
      </c>
      <c r="F204" s="2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 s="5">
        <v>0.24</v>
      </c>
      <c r="L204" t="s">
        <v>31</v>
      </c>
      <c r="M204" t="s">
        <v>22</v>
      </c>
      <c r="N204" t="s">
        <v>36</v>
      </c>
      <c r="O204" t="str">
        <f t="shared" si="9"/>
        <v>January</v>
      </c>
      <c r="P204">
        <f t="shared" si="10"/>
        <v>1</v>
      </c>
      <c r="Q204">
        <f t="shared" si="11"/>
        <v>2023</v>
      </c>
    </row>
    <row r="205" spans="1:17" x14ac:dyDescent="0.25">
      <c r="A205">
        <v>1097</v>
      </c>
      <c r="B205" s="1">
        <v>45229</v>
      </c>
      <c r="C205" t="s">
        <v>38</v>
      </c>
      <c r="D205" t="s">
        <v>21</v>
      </c>
      <c r="E205" s="4">
        <v>6600.65</v>
      </c>
      <c r="F205" s="2">
        <v>49</v>
      </c>
      <c r="G205" t="s">
        <v>35</v>
      </c>
      <c r="H205">
        <v>4264.46</v>
      </c>
      <c r="I205">
        <v>4315.5200000000004</v>
      </c>
      <c r="J205" t="s">
        <v>30</v>
      </c>
      <c r="K205" s="5">
        <v>7.0000000000000007E-2</v>
      </c>
      <c r="L205" t="s">
        <v>18</v>
      </c>
      <c r="M205" t="s">
        <v>22</v>
      </c>
      <c r="N205" t="s">
        <v>41</v>
      </c>
      <c r="O205" t="str">
        <f t="shared" si="9"/>
        <v>October</v>
      </c>
      <c r="P205">
        <f t="shared" si="10"/>
        <v>10</v>
      </c>
      <c r="Q205">
        <f t="shared" si="11"/>
        <v>2023</v>
      </c>
    </row>
    <row r="206" spans="1:17" x14ac:dyDescent="0.25">
      <c r="A206">
        <v>1051</v>
      </c>
      <c r="B206" s="1">
        <v>45272</v>
      </c>
      <c r="C206" t="s">
        <v>38</v>
      </c>
      <c r="D206" t="s">
        <v>15</v>
      </c>
      <c r="E206" s="4">
        <v>2479.9499999999998</v>
      </c>
      <c r="F206" s="2">
        <v>8</v>
      </c>
      <c r="G206" t="s">
        <v>29</v>
      </c>
      <c r="H206">
        <v>467.11</v>
      </c>
      <c r="I206">
        <v>792.21</v>
      </c>
      <c r="J206" t="s">
        <v>30</v>
      </c>
      <c r="K206" s="5">
        <v>0.2</v>
      </c>
      <c r="L206" t="s">
        <v>31</v>
      </c>
      <c r="M206" t="s">
        <v>19</v>
      </c>
      <c r="N206" t="s">
        <v>40</v>
      </c>
      <c r="O206" t="str">
        <f t="shared" si="9"/>
        <v>December</v>
      </c>
      <c r="P206">
        <f t="shared" si="10"/>
        <v>12</v>
      </c>
      <c r="Q206">
        <f t="shared" si="11"/>
        <v>2023</v>
      </c>
    </row>
    <row r="207" spans="1:17" x14ac:dyDescent="0.25">
      <c r="A207">
        <v>1044</v>
      </c>
      <c r="B207" s="1">
        <v>45228</v>
      </c>
      <c r="C207" t="s">
        <v>33</v>
      </c>
      <c r="D207" t="s">
        <v>15</v>
      </c>
      <c r="E207" s="4">
        <v>1996.77</v>
      </c>
      <c r="F207" s="2">
        <v>11</v>
      </c>
      <c r="G207" t="s">
        <v>29</v>
      </c>
      <c r="H207">
        <v>1812.66</v>
      </c>
      <c r="I207">
        <v>2196.3000000000002</v>
      </c>
      <c r="J207" t="s">
        <v>30</v>
      </c>
      <c r="K207" s="5">
        <v>0.08</v>
      </c>
      <c r="L207" t="s">
        <v>18</v>
      </c>
      <c r="M207" t="s">
        <v>19</v>
      </c>
      <c r="N207" t="s">
        <v>53</v>
      </c>
      <c r="O207" t="str">
        <f t="shared" si="9"/>
        <v>October</v>
      </c>
      <c r="P207">
        <f t="shared" si="10"/>
        <v>10</v>
      </c>
      <c r="Q207">
        <f t="shared" si="11"/>
        <v>2023</v>
      </c>
    </row>
    <row r="208" spans="1:17" x14ac:dyDescent="0.25">
      <c r="A208">
        <v>1024</v>
      </c>
      <c r="B208" s="1">
        <v>45289</v>
      </c>
      <c r="C208" t="s">
        <v>38</v>
      </c>
      <c r="D208" t="s">
        <v>15</v>
      </c>
      <c r="E208" s="4">
        <v>9190.57</v>
      </c>
      <c r="F208" s="2">
        <v>5</v>
      </c>
      <c r="G208" t="s">
        <v>16</v>
      </c>
      <c r="H208">
        <v>3417.9</v>
      </c>
      <c r="I208">
        <v>3714.52</v>
      </c>
      <c r="J208" t="s">
        <v>17</v>
      </c>
      <c r="K208" s="5">
        <v>0.27</v>
      </c>
      <c r="L208" t="s">
        <v>31</v>
      </c>
      <c r="M208" t="s">
        <v>22</v>
      </c>
      <c r="N208" t="s">
        <v>40</v>
      </c>
      <c r="O208" t="str">
        <f t="shared" si="9"/>
        <v>December</v>
      </c>
      <c r="P208">
        <f t="shared" si="10"/>
        <v>12</v>
      </c>
      <c r="Q208">
        <f t="shared" si="11"/>
        <v>2023</v>
      </c>
    </row>
    <row r="209" spans="1:17" x14ac:dyDescent="0.25">
      <c r="A209">
        <v>1079</v>
      </c>
      <c r="B209" s="1">
        <v>45144</v>
      </c>
      <c r="C209" t="s">
        <v>24</v>
      </c>
      <c r="D209" t="s">
        <v>15</v>
      </c>
      <c r="E209" s="4">
        <v>1107.8599999999999</v>
      </c>
      <c r="F209" s="2">
        <v>45</v>
      </c>
      <c r="G209" t="s">
        <v>29</v>
      </c>
      <c r="H209">
        <v>1406.9</v>
      </c>
      <c r="I209">
        <v>1547.35</v>
      </c>
      <c r="J209" t="s">
        <v>30</v>
      </c>
      <c r="K209" s="5">
        <v>0.17</v>
      </c>
      <c r="L209" t="s">
        <v>18</v>
      </c>
      <c r="M209" t="s">
        <v>22</v>
      </c>
      <c r="N209" t="s">
        <v>45</v>
      </c>
      <c r="O209" t="str">
        <f t="shared" si="9"/>
        <v>August</v>
      </c>
      <c r="P209">
        <f t="shared" si="10"/>
        <v>8</v>
      </c>
      <c r="Q209">
        <f t="shared" si="11"/>
        <v>2023</v>
      </c>
    </row>
    <row r="210" spans="1:17" x14ac:dyDescent="0.25">
      <c r="A210">
        <v>1059</v>
      </c>
      <c r="B210" s="1">
        <v>45067</v>
      </c>
      <c r="C210" t="s">
        <v>42</v>
      </c>
      <c r="D210" t="s">
        <v>15</v>
      </c>
      <c r="E210" s="4">
        <v>5108.9799999999996</v>
      </c>
      <c r="F210" s="2">
        <v>37</v>
      </c>
      <c r="G210" t="s">
        <v>35</v>
      </c>
      <c r="H210">
        <v>4146.99</v>
      </c>
      <c r="I210">
        <v>4172.3499999999904</v>
      </c>
      <c r="J210" t="s">
        <v>17</v>
      </c>
      <c r="K210" s="5">
        <v>0.06</v>
      </c>
      <c r="L210" t="s">
        <v>18</v>
      </c>
      <c r="M210" t="s">
        <v>22</v>
      </c>
      <c r="N210" t="s">
        <v>49</v>
      </c>
      <c r="O210" t="str">
        <f t="shared" si="9"/>
        <v>May</v>
      </c>
      <c r="P210">
        <f t="shared" si="10"/>
        <v>5</v>
      </c>
      <c r="Q210">
        <f t="shared" si="11"/>
        <v>2023</v>
      </c>
    </row>
    <row r="211" spans="1:17" x14ac:dyDescent="0.25">
      <c r="A211">
        <v>1032</v>
      </c>
      <c r="B211" s="1">
        <v>45030</v>
      </c>
      <c r="C211" t="s">
        <v>24</v>
      </c>
      <c r="D211" t="s">
        <v>15</v>
      </c>
      <c r="E211" s="4">
        <v>2286.44</v>
      </c>
      <c r="F211" s="2">
        <v>45</v>
      </c>
      <c r="G211" t="s">
        <v>29</v>
      </c>
      <c r="H211">
        <v>3712.35</v>
      </c>
      <c r="I211">
        <v>3780.88</v>
      </c>
      <c r="J211" t="s">
        <v>30</v>
      </c>
      <c r="K211" s="5">
        <v>7.0000000000000007E-2</v>
      </c>
      <c r="L211" t="s">
        <v>18</v>
      </c>
      <c r="M211" t="s">
        <v>22</v>
      </c>
      <c r="N211" t="s">
        <v>45</v>
      </c>
      <c r="O211" t="str">
        <f t="shared" si="9"/>
        <v>April</v>
      </c>
      <c r="P211">
        <f t="shared" si="10"/>
        <v>4</v>
      </c>
      <c r="Q211">
        <f t="shared" si="11"/>
        <v>2023</v>
      </c>
    </row>
    <row r="212" spans="1:17" x14ac:dyDescent="0.25">
      <c r="A212">
        <v>1096</v>
      </c>
      <c r="B212" s="1">
        <v>45136</v>
      </c>
      <c r="C212" t="s">
        <v>33</v>
      </c>
      <c r="D212" t="s">
        <v>21</v>
      </c>
      <c r="E212" s="4">
        <v>485.41</v>
      </c>
      <c r="F212" s="2">
        <v>38</v>
      </c>
      <c r="G212" t="s">
        <v>35</v>
      </c>
      <c r="H212">
        <v>3955.66</v>
      </c>
      <c r="I212">
        <v>4270.59</v>
      </c>
      <c r="J212" t="s">
        <v>17</v>
      </c>
      <c r="K212" s="5">
        <v>0.15</v>
      </c>
      <c r="L212" t="s">
        <v>31</v>
      </c>
      <c r="M212" t="s">
        <v>19</v>
      </c>
      <c r="N212" t="s">
        <v>37</v>
      </c>
      <c r="O212" t="str">
        <f t="shared" si="9"/>
        <v>July</v>
      </c>
      <c r="P212">
        <f t="shared" si="10"/>
        <v>7</v>
      </c>
      <c r="Q212">
        <f t="shared" si="11"/>
        <v>2023</v>
      </c>
    </row>
    <row r="213" spans="1:17" x14ac:dyDescent="0.25">
      <c r="A213">
        <v>1088</v>
      </c>
      <c r="B213" s="1">
        <v>45037</v>
      </c>
      <c r="C213" t="s">
        <v>33</v>
      </c>
      <c r="D213" t="s">
        <v>34</v>
      </c>
      <c r="E213" s="4">
        <v>456.59</v>
      </c>
      <c r="F213" s="2">
        <v>29</v>
      </c>
      <c r="G213" t="s">
        <v>16</v>
      </c>
      <c r="H213">
        <v>639.58000000000004</v>
      </c>
      <c r="I213">
        <v>1107.45</v>
      </c>
      <c r="J213" t="s">
        <v>30</v>
      </c>
      <c r="K213" s="5">
        <v>0.28999999999999998</v>
      </c>
      <c r="L213" t="s">
        <v>18</v>
      </c>
      <c r="M213" t="s">
        <v>22</v>
      </c>
      <c r="N213" t="s">
        <v>36</v>
      </c>
      <c r="O213" t="str">
        <f t="shared" si="9"/>
        <v>April</v>
      </c>
      <c r="P213">
        <f t="shared" si="10"/>
        <v>4</v>
      </c>
      <c r="Q213">
        <f t="shared" si="11"/>
        <v>2023</v>
      </c>
    </row>
    <row r="214" spans="1:17" x14ac:dyDescent="0.25">
      <c r="A214">
        <v>1052</v>
      </c>
      <c r="B214" s="1">
        <v>45030</v>
      </c>
      <c r="C214" t="s">
        <v>24</v>
      </c>
      <c r="D214" t="s">
        <v>15</v>
      </c>
      <c r="E214" s="4">
        <v>1834.7</v>
      </c>
      <c r="F214" s="2">
        <v>5</v>
      </c>
      <c r="G214" t="s">
        <v>16</v>
      </c>
      <c r="H214">
        <v>745.71</v>
      </c>
      <c r="I214">
        <v>856.91</v>
      </c>
      <c r="J214" t="s">
        <v>17</v>
      </c>
      <c r="K214" s="5">
        <v>0.23</v>
      </c>
      <c r="L214" t="s">
        <v>27</v>
      </c>
      <c r="M214" t="s">
        <v>22</v>
      </c>
      <c r="N214" t="s">
        <v>45</v>
      </c>
      <c r="O214" t="str">
        <f t="shared" si="9"/>
        <v>April</v>
      </c>
      <c r="P214">
        <f t="shared" si="10"/>
        <v>4</v>
      </c>
      <c r="Q214">
        <f t="shared" si="11"/>
        <v>2023</v>
      </c>
    </row>
    <row r="215" spans="1:17" x14ac:dyDescent="0.25">
      <c r="A215">
        <v>1062</v>
      </c>
      <c r="B215" s="1">
        <v>45242</v>
      </c>
      <c r="C215" t="s">
        <v>38</v>
      </c>
      <c r="D215" t="s">
        <v>25</v>
      </c>
      <c r="E215" s="4">
        <v>8681.0300000000007</v>
      </c>
      <c r="F215" s="2">
        <v>9</v>
      </c>
      <c r="G215" t="s">
        <v>35</v>
      </c>
      <c r="H215">
        <v>1468.05</v>
      </c>
      <c r="I215">
        <v>1838.21</v>
      </c>
      <c r="J215" t="s">
        <v>30</v>
      </c>
      <c r="K215" s="5">
        <v>0.15</v>
      </c>
      <c r="L215" t="s">
        <v>27</v>
      </c>
      <c r="M215" t="s">
        <v>22</v>
      </c>
      <c r="N215" t="s">
        <v>39</v>
      </c>
      <c r="O215" t="str">
        <f t="shared" si="9"/>
        <v>November</v>
      </c>
      <c r="P215">
        <f t="shared" si="10"/>
        <v>11</v>
      </c>
      <c r="Q215">
        <f t="shared" si="11"/>
        <v>2023</v>
      </c>
    </row>
    <row r="216" spans="1:17" x14ac:dyDescent="0.25">
      <c r="A216">
        <v>1058</v>
      </c>
      <c r="B216" s="1">
        <v>45097</v>
      </c>
      <c r="C216" t="s">
        <v>38</v>
      </c>
      <c r="D216" t="s">
        <v>21</v>
      </c>
      <c r="E216" s="4">
        <v>2896.54</v>
      </c>
      <c r="F216" s="2">
        <v>48</v>
      </c>
      <c r="G216" t="s">
        <v>29</v>
      </c>
      <c r="H216">
        <v>2614.48</v>
      </c>
      <c r="I216">
        <v>3049.04</v>
      </c>
      <c r="J216" t="s">
        <v>30</v>
      </c>
      <c r="K216" s="5">
        <v>0.1</v>
      </c>
      <c r="L216" t="s">
        <v>31</v>
      </c>
      <c r="M216" t="s">
        <v>22</v>
      </c>
      <c r="N216" t="s">
        <v>41</v>
      </c>
      <c r="O216" t="str">
        <f t="shared" si="9"/>
        <v>June</v>
      </c>
      <c r="P216">
        <f t="shared" si="10"/>
        <v>6</v>
      </c>
      <c r="Q216">
        <f t="shared" si="11"/>
        <v>2023</v>
      </c>
    </row>
    <row r="217" spans="1:17" x14ac:dyDescent="0.25">
      <c r="A217">
        <v>1052</v>
      </c>
      <c r="B217" s="1">
        <v>45282</v>
      </c>
      <c r="C217" t="s">
        <v>33</v>
      </c>
      <c r="D217" t="s">
        <v>21</v>
      </c>
      <c r="E217" s="4">
        <v>9509.5499999999993</v>
      </c>
      <c r="F217" s="2">
        <v>2</v>
      </c>
      <c r="G217" t="s">
        <v>16</v>
      </c>
      <c r="H217">
        <v>3752.68</v>
      </c>
      <c r="I217">
        <v>4017.91</v>
      </c>
      <c r="J217" t="s">
        <v>17</v>
      </c>
      <c r="K217" s="5">
        <v>0.16</v>
      </c>
      <c r="L217" t="s">
        <v>27</v>
      </c>
      <c r="M217" t="s">
        <v>19</v>
      </c>
      <c r="N217" t="s">
        <v>37</v>
      </c>
      <c r="O217" t="str">
        <f t="shared" si="9"/>
        <v>December</v>
      </c>
      <c r="P217">
        <f t="shared" si="10"/>
        <v>12</v>
      </c>
      <c r="Q217">
        <f t="shared" si="11"/>
        <v>2023</v>
      </c>
    </row>
    <row r="218" spans="1:17" x14ac:dyDescent="0.25">
      <c r="A218">
        <v>1012</v>
      </c>
      <c r="B218" s="1">
        <v>45250</v>
      </c>
      <c r="C218" t="s">
        <v>14</v>
      </c>
      <c r="D218" t="s">
        <v>15</v>
      </c>
      <c r="E218" s="4">
        <v>5858.06</v>
      </c>
      <c r="F218" s="2">
        <v>1</v>
      </c>
      <c r="G218" t="s">
        <v>26</v>
      </c>
      <c r="H218">
        <v>4190.83</v>
      </c>
      <c r="I218">
        <v>4528.7699999999904</v>
      </c>
      <c r="J218" t="s">
        <v>17</v>
      </c>
      <c r="K218" s="5">
        <v>0.22</v>
      </c>
      <c r="L218" t="s">
        <v>27</v>
      </c>
      <c r="M218" t="s">
        <v>19</v>
      </c>
      <c r="N218" t="s">
        <v>20</v>
      </c>
      <c r="O218" t="str">
        <f t="shared" si="9"/>
        <v>November</v>
      </c>
      <c r="P218">
        <f t="shared" si="10"/>
        <v>11</v>
      </c>
      <c r="Q218">
        <f t="shared" si="11"/>
        <v>2023</v>
      </c>
    </row>
    <row r="219" spans="1:17" x14ac:dyDescent="0.25">
      <c r="A219">
        <v>1039</v>
      </c>
      <c r="B219" s="1">
        <v>45059</v>
      </c>
      <c r="C219" t="s">
        <v>38</v>
      </c>
      <c r="D219" t="s">
        <v>21</v>
      </c>
      <c r="E219" s="4">
        <v>4422.4799999999996</v>
      </c>
      <c r="F219" s="2">
        <v>40</v>
      </c>
      <c r="G219" t="s">
        <v>16</v>
      </c>
      <c r="H219">
        <v>3536.46</v>
      </c>
      <c r="I219">
        <v>3945.82</v>
      </c>
      <c r="J219" t="s">
        <v>30</v>
      </c>
      <c r="K219" s="5">
        <v>0.24</v>
      </c>
      <c r="L219" t="s">
        <v>27</v>
      </c>
      <c r="M219" t="s">
        <v>19</v>
      </c>
      <c r="N219" t="s">
        <v>41</v>
      </c>
      <c r="O219" t="str">
        <f t="shared" si="9"/>
        <v>May</v>
      </c>
      <c r="P219">
        <f t="shared" si="10"/>
        <v>5</v>
      </c>
      <c r="Q219">
        <f t="shared" si="11"/>
        <v>2023</v>
      </c>
    </row>
    <row r="220" spans="1:17" x14ac:dyDescent="0.25">
      <c r="A220">
        <v>1002</v>
      </c>
      <c r="B220" s="1">
        <v>45219</v>
      </c>
      <c r="C220" t="s">
        <v>24</v>
      </c>
      <c r="D220" t="s">
        <v>15</v>
      </c>
      <c r="E220" s="4">
        <v>5842.88</v>
      </c>
      <c r="F220" s="2">
        <v>30</v>
      </c>
      <c r="G220" t="s">
        <v>29</v>
      </c>
      <c r="H220">
        <v>4646.55</v>
      </c>
      <c r="I220">
        <v>4784.28</v>
      </c>
      <c r="J220" t="s">
        <v>17</v>
      </c>
      <c r="K220" s="5">
        <v>0.1</v>
      </c>
      <c r="L220" t="s">
        <v>31</v>
      </c>
      <c r="M220" t="s">
        <v>22</v>
      </c>
      <c r="N220" t="s">
        <v>45</v>
      </c>
      <c r="O220" t="str">
        <f t="shared" si="9"/>
        <v>October</v>
      </c>
      <c r="P220">
        <f t="shared" si="10"/>
        <v>10</v>
      </c>
      <c r="Q220">
        <f t="shared" si="11"/>
        <v>2023</v>
      </c>
    </row>
    <row r="221" spans="1:17" x14ac:dyDescent="0.25">
      <c r="A221">
        <v>1003</v>
      </c>
      <c r="B221" s="1">
        <v>45254</v>
      </c>
      <c r="C221" t="s">
        <v>38</v>
      </c>
      <c r="D221" t="s">
        <v>34</v>
      </c>
      <c r="E221" s="4">
        <v>5215.3100000000004</v>
      </c>
      <c r="F221" s="2">
        <v>11</v>
      </c>
      <c r="G221" t="s">
        <v>26</v>
      </c>
      <c r="H221">
        <v>3706.78</v>
      </c>
      <c r="I221">
        <v>3862.26</v>
      </c>
      <c r="J221" t="s">
        <v>30</v>
      </c>
      <c r="K221" s="5">
        <v>0.22</v>
      </c>
      <c r="L221" t="s">
        <v>31</v>
      </c>
      <c r="M221" t="s">
        <v>22</v>
      </c>
      <c r="N221" t="s">
        <v>48</v>
      </c>
      <c r="O221" t="str">
        <f t="shared" si="9"/>
        <v>November</v>
      </c>
      <c r="P221">
        <f t="shared" si="10"/>
        <v>11</v>
      </c>
      <c r="Q221">
        <f t="shared" si="11"/>
        <v>2023</v>
      </c>
    </row>
    <row r="222" spans="1:17" x14ac:dyDescent="0.25">
      <c r="A222">
        <v>1056</v>
      </c>
      <c r="B222" s="1">
        <v>45053</v>
      </c>
      <c r="C222" t="s">
        <v>24</v>
      </c>
      <c r="D222" t="s">
        <v>34</v>
      </c>
      <c r="E222" s="4">
        <v>7611.88</v>
      </c>
      <c r="F222" s="2">
        <v>28</v>
      </c>
      <c r="G222" t="s">
        <v>29</v>
      </c>
      <c r="H222">
        <v>1566.03</v>
      </c>
      <c r="I222">
        <v>1576.34</v>
      </c>
      <c r="J222" t="s">
        <v>17</v>
      </c>
      <c r="K222" s="5">
        <v>0.2</v>
      </c>
      <c r="L222" t="s">
        <v>27</v>
      </c>
      <c r="M222" t="s">
        <v>19</v>
      </c>
      <c r="N222" t="s">
        <v>50</v>
      </c>
      <c r="O222" t="str">
        <f t="shared" si="9"/>
        <v>May</v>
      </c>
      <c r="P222">
        <f t="shared" si="10"/>
        <v>5</v>
      </c>
      <c r="Q222">
        <f t="shared" si="11"/>
        <v>2023</v>
      </c>
    </row>
    <row r="223" spans="1:17" x14ac:dyDescent="0.25">
      <c r="A223">
        <v>1081</v>
      </c>
      <c r="B223" s="1">
        <v>45032</v>
      </c>
      <c r="C223" t="s">
        <v>33</v>
      </c>
      <c r="D223" t="s">
        <v>21</v>
      </c>
      <c r="E223" s="4">
        <v>2896.71</v>
      </c>
      <c r="F223" s="2">
        <v>44</v>
      </c>
      <c r="G223" t="s">
        <v>35</v>
      </c>
      <c r="H223">
        <v>1362.15</v>
      </c>
      <c r="I223">
        <v>1844.07</v>
      </c>
      <c r="J223" t="s">
        <v>30</v>
      </c>
      <c r="K223" s="5">
        <v>0.28999999999999998</v>
      </c>
      <c r="L223" t="s">
        <v>31</v>
      </c>
      <c r="M223" t="s">
        <v>19</v>
      </c>
      <c r="N223" t="s">
        <v>37</v>
      </c>
      <c r="O223" t="str">
        <f t="shared" si="9"/>
        <v>April</v>
      </c>
      <c r="P223">
        <f t="shared" si="10"/>
        <v>4</v>
      </c>
      <c r="Q223">
        <f t="shared" si="11"/>
        <v>2023</v>
      </c>
    </row>
    <row r="224" spans="1:17" x14ac:dyDescent="0.25">
      <c r="A224">
        <v>1059</v>
      </c>
      <c r="B224" s="1">
        <v>45018</v>
      </c>
      <c r="C224" t="s">
        <v>38</v>
      </c>
      <c r="D224" t="s">
        <v>21</v>
      </c>
      <c r="E224" s="4">
        <v>3595.2</v>
      </c>
      <c r="F224" s="2">
        <v>12</v>
      </c>
      <c r="G224" t="s">
        <v>26</v>
      </c>
      <c r="H224">
        <v>3496.15</v>
      </c>
      <c r="I224">
        <v>3955.75</v>
      </c>
      <c r="J224" t="s">
        <v>17</v>
      </c>
      <c r="K224" s="5">
        <v>0.28000000000000003</v>
      </c>
      <c r="L224" t="s">
        <v>18</v>
      </c>
      <c r="M224" t="s">
        <v>22</v>
      </c>
      <c r="N224" t="s">
        <v>41</v>
      </c>
      <c r="O224" t="str">
        <f t="shared" si="9"/>
        <v>April</v>
      </c>
      <c r="P224">
        <f t="shared" si="10"/>
        <v>4</v>
      </c>
      <c r="Q224">
        <f t="shared" si="11"/>
        <v>2023</v>
      </c>
    </row>
    <row r="225" spans="1:17" x14ac:dyDescent="0.25">
      <c r="A225">
        <v>1002</v>
      </c>
      <c r="B225" s="1">
        <v>45213</v>
      </c>
      <c r="C225" t="s">
        <v>24</v>
      </c>
      <c r="D225" t="s">
        <v>25</v>
      </c>
      <c r="E225" s="4">
        <v>8951.5300000000007</v>
      </c>
      <c r="F225" s="2">
        <v>39</v>
      </c>
      <c r="G225" t="s">
        <v>29</v>
      </c>
      <c r="H225">
        <v>1004.71</v>
      </c>
      <c r="I225">
        <v>1389.35</v>
      </c>
      <c r="J225" t="s">
        <v>30</v>
      </c>
      <c r="K225" s="5">
        <v>0.24</v>
      </c>
      <c r="L225" t="s">
        <v>27</v>
      </c>
      <c r="M225" t="s">
        <v>19</v>
      </c>
      <c r="N225" t="s">
        <v>28</v>
      </c>
      <c r="O225" t="str">
        <f t="shared" si="9"/>
        <v>October</v>
      </c>
      <c r="P225">
        <f t="shared" si="10"/>
        <v>10</v>
      </c>
      <c r="Q225">
        <f t="shared" si="11"/>
        <v>2023</v>
      </c>
    </row>
    <row r="226" spans="1:17" x14ac:dyDescent="0.25">
      <c r="A226">
        <v>1002</v>
      </c>
      <c r="B226" s="1">
        <v>44977</v>
      </c>
      <c r="C226" t="s">
        <v>33</v>
      </c>
      <c r="D226" t="s">
        <v>21</v>
      </c>
      <c r="E226" s="4">
        <v>9469.92</v>
      </c>
      <c r="F226" s="2">
        <v>26</v>
      </c>
      <c r="G226" t="s">
        <v>26</v>
      </c>
      <c r="H226">
        <v>508.94</v>
      </c>
      <c r="I226">
        <v>557.69000000000005</v>
      </c>
      <c r="J226" t="s">
        <v>30</v>
      </c>
      <c r="K226" s="5">
        <v>0.22</v>
      </c>
      <c r="L226" t="s">
        <v>31</v>
      </c>
      <c r="M226" t="s">
        <v>22</v>
      </c>
      <c r="N226" t="s">
        <v>37</v>
      </c>
      <c r="O226" t="str">
        <f t="shared" si="9"/>
        <v>February</v>
      </c>
      <c r="P226">
        <f t="shared" si="10"/>
        <v>2</v>
      </c>
      <c r="Q226">
        <f t="shared" si="11"/>
        <v>2023</v>
      </c>
    </row>
    <row r="227" spans="1:17" x14ac:dyDescent="0.25">
      <c r="A227">
        <v>1092</v>
      </c>
      <c r="B227" s="1">
        <v>44955</v>
      </c>
      <c r="C227" t="s">
        <v>14</v>
      </c>
      <c r="D227" t="s">
        <v>25</v>
      </c>
      <c r="E227" s="4">
        <v>8936.33</v>
      </c>
      <c r="F227" s="2">
        <v>13</v>
      </c>
      <c r="G227" t="s">
        <v>29</v>
      </c>
      <c r="H227">
        <v>2684.5</v>
      </c>
      <c r="I227">
        <v>2913.78</v>
      </c>
      <c r="J227" t="s">
        <v>30</v>
      </c>
      <c r="K227" s="5">
        <v>0.08</v>
      </c>
      <c r="L227" t="s">
        <v>31</v>
      </c>
      <c r="M227" t="s">
        <v>22</v>
      </c>
      <c r="N227" t="s">
        <v>32</v>
      </c>
      <c r="O227" t="str">
        <f t="shared" si="9"/>
        <v>January</v>
      </c>
      <c r="P227">
        <f t="shared" si="10"/>
        <v>1</v>
      </c>
      <c r="Q227">
        <f t="shared" si="11"/>
        <v>2023</v>
      </c>
    </row>
    <row r="228" spans="1:17" x14ac:dyDescent="0.25">
      <c r="A228">
        <v>1054</v>
      </c>
      <c r="B228" s="1">
        <v>45222</v>
      </c>
      <c r="C228" t="s">
        <v>24</v>
      </c>
      <c r="D228" t="s">
        <v>34</v>
      </c>
      <c r="E228" s="4">
        <v>4252.54</v>
      </c>
      <c r="F228" s="2">
        <v>8</v>
      </c>
      <c r="G228" t="s">
        <v>26</v>
      </c>
      <c r="H228">
        <v>4117.13</v>
      </c>
      <c r="I228">
        <v>4177.0600000000004</v>
      </c>
      <c r="J228" t="s">
        <v>17</v>
      </c>
      <c r="K228" s="5">
        <v>0.25</v>
      </c>
      <c r="L228" t="s">
        <v>27</v>
      </c>
      <c r="M228" t="s">
        <v>22</v>
      </c>
      <c r="N228" t="s">
        <v>50</v>
      </c>
      <c r="O228" t="str">
        <f t="shared" si="9"/>
        <v>October</v>
      </c>
      <c r="P228">
        <f t="shared" si="10"/>
        <v>10</v>
      </c>
      <c r="Q228">
        <f t="shared" si="11"/>
        <v>2023</v>
      </c>
    </row>
    <row r="229" spans="1:17" x14ac:dyDescent="0.25">
      <c r="A229">
        <v>1087</v>
      </c>
      <c r="B229" s="1">
        <v>45223</v>
      </c>
      <c r="C229" t="s">
        <v>14</v>
      </c>
      <c r="D229" t="s">
        <v>34</v>
      </c>
      <c r="E229" s="4">
        <v>7825.62</v>
      </c>
      <c r="F229" s="2">
        <v>28</v>
      </c>
      <c r="G229" t="s">
        <v>29</v>
      </c>
      <c r="H229">
        <v>551.83000000000004</v>
      </c>
      <c r="I229">
        <v>569.63</v>
      </c>
      <c r="J229" t="s">
        <v>30</v>
      </c>
      <c r="K229" s="5">
        <v>0.13</v>
      </c>
      <c r="L229" t="s">
        <v>31</v>
      </c>
      <c r="M229" t="s">
        <v>22</v>
      </c>
      <c r="N229" t="s">
        <v>46</v>
      </c>
      <c r="O229" t="str">
        <f t="shared" si="9"/>
        <v>October</v>
      </c>
      <c r="P229">
        <f t="shared" si="10"/>
        <v>10</v>
      </c>
      <c r="Q229">
        <f t="shared" si="11"/>
        <v>2023</v>
      </c>
    </row>
    <row r="230" spans="1:17" x14ac:dyDescent="0.25">
      <c r="A230">
        <v>1096</v>
      </c>
      <c r="B230" s="1">
        <v>45140</v>
      </c>
      <c r="C230" t="s">
        <v>14</v>
      </c>
      <c r="D230" t="s">
        <v>15</v>
      </c>
      <c r="E230" s="4">
        <v>4815.72</v>
      </c>
      <c r="F230" s="2">
        <v>30</v>
      </c>
      <c r="G230" t="s">
        <v>35</v>
      </c>
      <c r="H230">
        <v>3969.86</v>
      </c>
      <c r="I230">
        <v>4281.79</v>
      </c>
      <c r="J230" t="s">
        <v>17</v>
      </c>
      <c r="K230" s="5">
        <v>0.08</v>
      </c>
      <c r="L230" t="s">
        <v>27</v>
      </c>
      <c r="M230" t="s">
        <v>22</v>
      </c>
      <c r="N230" t="s">
        <v>20</v>
      </c>
      <c r="O230" t="str">
        <f t="shared" si="9"/>
        <v>August</v>
      </c>
      <c r="P230">
        <f t="shared" si="10"/>
        <v>8</v>
      </c>
      <c r="Q230">
        <f t="shared" si="11"/>
        <v>2023</v>
      </c>
    </row>
    <row r="231" spans="1:17" x14ac:dyDescent="0.25">
      <c r="A231">
        <v>1097</v>
      </c>
      <c r="B231" s="1">
        <v>45193</v>
      </c>
      <c r="C231" t="s">
        <v>42</v>
      </c>
      <c r="D231" t="s">
        <v>34</v>
      </c>
      <c r="E231" s="4">
        <v>5025.6400000000003</v>
      </c>
      <c r="F231" s="2">
        <v>9</v>
      </c>
      <c r="G231" t="s">
        <v>26</v>
      </c>
      <c r="H231">
        <v>4067.28</v>
      </c>
      <c r="I231">
        <v>4548.09</v>
      </c>
      <c r="J231" t="s">
        <v>17</v>
      </c>
      <c r="K231" s="5">
        <v>0.12</v>
      </c>
      <c r="L231" t="s">
        <v>31</v>
      </c>
      <c r="M231" t="s">
        <v>22</v>
      </c>
      <c r="N231" t="s">
        <v>52</v>
      </c>
      <c r="O231" t="str">
        <f t="shared" si="9"/>
        <v>September</v>
      </c>
      <c r="P231">
        <f t="shared" si="10"/>
        <v>9</v>
      </c>
      <c r="Q231">
        <f t="shared" si="11"/>
        <v>2023</v>
      </c>
    </row>
    <row r="232" spans="1:17" x14ac:dyDescent="0.25">
      <c r="A232">
        <v>1001</v>
      </c>
      <c r="B232" s="1">
        <v>45183</v>
      </c>
      <c r="C232" t="s">
        <v>38</v>
      </c>
      <c r="D232" t="s">
        <v>25</v>
      </c>
      <c r="E232" s="4">
        <v>2126.33</v>
      </c>
      <c r="F232" s="2">
        <v>39</v>
      </c>
      <c r="G232" t="s">
        <v>26</v>
      </c>
      <c r="H232">
        <v>2437.2600000000002</v>
      </c>
      <c r="I232">
        <v>2889.67</v>
      </c>
      <c r="J232" t="s">
        <v>17</v>
      </c>
      <c r="K232" s="5">
        <v>0.25</v>
      </c>
      <c r="L232" t="s">
        <v>18</v>
      </c>
      <c r="M232" t="s">
        <v>19</v>
      </c>
      <c r="N232" t="s">
        <v>39</v>
      </c>
      <c r="O232" t="str">
        <f t="shared" si="9"/>
        <v>September</v>
      </c>
      <c r="P232">
        <f t="shared" si="10"/>
        <v>9</v>
      </c>
      <c r="Q232">
        <f t="shared" si="11"/>
        <v>2023</v>
      </c>
    </row>
    <row r="233" spans="1:17" x14ac:dyDescent="0.25">
      <c r="A233">
        <v>1019</v>
      </c>
      <c r="B233" s="1">
        <v>45228</v>
      </c>
      <c r="C233" t="s">
        <v>24</v>
      </c>
      <c r="D233" t="s">
        <v>21</v>
      </c>
      <c r="E233" s="4">
        <v>5952.19</v>
      </c>
      <c r="F233" s="2">
        <v>31</v>
      </c>
      <c r="G233" t="s">
        <v>26</v>
      </c>
      <c r="H233">
        <v>333.69</v>
      </c>
      <c r="I233">
        <v>685.1</v>
      </c>
      <c r="J233" t="s">
        <v>30</v>
      </c>
      <c r="K233" s="5">
        <v>0.04</v>
      </c>
      <c r="L233" t="s">
        <v>27</v>
      </c>
      <c r="M233" t="s">
        <v>19</v>
      </c>
      <c r="N233" t="s">
        <v>47</v>
      </c>
      <c r="O233" t="str">
        <f t="shared" si="9"/>
        <v>October</v>
      </c>
      <c r="P233">
        <f t="shared" si="10"/>
        <v>10</v>
      </c>
      <c r="Q233">
        <f t="shared" si="11"/>
        <v>2023</v>
      </c>
    </row>
    <row r="234" spans="1:17" x14ac:dyDescent="0.25">
      <c r="A234">
        <v>1002</v>
      </c>
      <c r="B234" s="1">
        <v>45027</v>
      </c>
      <c r="C234" t="s">
        <v>14</v>
      </c>
      <c r="D234" t="s">
        <v>15</v>
      </c>
      <c r="E234" s="4">
        <v>1942.75</v>
      </c>
      <c r="F234" s="2">
        <v>21</v>
      </c>
      <c r="G234" t="s">
        <v>26</v>
      </c>
      <c r="H234">
        <v>914.22</v>
      </c>
      <c r="I234">
        <v>971.57</v>
      </c>
      <c r="J234" t="s">
        <v>17</v>
      </c>
      <c r="K234" s="5">
        <v>0.14000000000000001</v>
      </c>
      <c r="L234" t="s">
        <v>18</v>
      </c>
      <c r="M234" t="s">
        <v>19</v>
      </c>
      <c r="N234" t="s">
        <v>20</v>
      </c>
      <c r="O234" t="str">
        <f t="shared" si="9"/>
        <v>April</v>
      </c>
      <c r="P234">
        <f t="shared" si="10"/>
        <v>4</v>
      </c>
      <c r="Q234">
        <f t="shared" si="11"/>
        <v>2023</v>
      </c>
    </row>
    <row r="235" spans="1:17" x14ac:dyDescent="0.25">
      <c r="A235">
        <v>1053</v>
      </c>
      <c r="B235" s="1">
        <v>45272</v>
      </c>
      <c r="C235" t="s">
        <v>42</v>
      </c>
      <c r="D235" t="s">
        <v>25</v>
      </c>
      <c r="E235" s="4">
        <v>3382.49</v>
      </c>
      <c r="F235" s="2">
        <v>47</v>
      </c>
      <c r="G235" t="s">
        <v>35</v>
      </c>
      <c r="H235">
        <v>3551.76</v>
      </c>
      <c r="I235">
        <v>3696.1</v>
      </c>
      <c r="J235" t="s">
        <v>17</v>
      </c>
      <c r="K235" s="5">
        <v>0.15</v>
      </c>
      <c r="L235" t="s">
        <v>27</v>
      </c>
      <c r="M235" t="s">
        <v>22</v>
      </c>
      <c r="N235" t="s">
        <v>43</v>
      </c>
      <c r="O235" t="str">
        <f t="shared" si="9"/>
        <v>December</v>
      </c>
      <c r="P235">
        <f t="shared" si="10"/>
        <v>12</v>
      </c>
      <c r="Q235">
        <f t="shared" si="11"/>
        <v>2023</v>
      </c>
    </row>
    <row r="236" spans="1:17" x14ac:dyDescent="0.25">
      <c r="A236">
        <v>1044</v>
      </c>
      <c r="B236" s="1">
        <v>45036</v>
      </c>
      <c r="C236" t="s">
        <v>33</v>
      </c>
      <c r="D236" t="s">
        <v>21</v>
      </c>
      <c r="E236" s="4">
        <v>8564.7999999999993</v>
      </c>
      <c r="F236" s="2">
        <v>34</v>
      </c>
      <c r="G236" t="s">
        <v>26</v>
      </c>
      <c r="H236">
        <v>3573.3</v>
      </c>
      <c r="I236">
        <v>3740.13</v>
      </c>
      <c r="J236" t="s">
        <v>17</v>
      </c>
      <c r="K236" s="5">
        <v>0.01</v>
      </c>
      <c r="L236" t="s">
        <v>31</v>
      </c>
      <c r="M236" t="s">
        <v>19</v>
      </c>
      <c r="N236" t="s">
        <v>37</v>
      </c>
      <c r="O236" t="str">
        <f t="shared" si="9"/>
        <v>April</v>
      </c>
      <c r="P236">
        <f t="shared" si="10"/>
        <v>4</v>
      </c>
      <c r="Q236">
        <f t="shared" si="11"/>
        <v>2023</v>
      </c>
    </row>
    <row r="237" spans="1:17" x14ac:dyDescent="0.25">
      <c r="A237">
        <v>1090</v>
      </c>
      <c r="B237" s="1">
        <v>45108</v>
      </c>
      <c r="C237" t="s">
        <v>24</v>
      </c>
      <c r="D237" t="s">
        <v>15</v>
      </c>
      <c r="E237" s="4">
        <v>2150.0500000000002</v>
      </c>
      <c r="F237" s="2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 s="5">
        <v>0.06</v>
      </c>
      <c r="L237" t="s">
        <v>18</v>
      </c>
      <c r="M237" t="s">
        <v>22</v>
      </c>
      <c r="N237" t="s">
        <v>45</v>
      </c>
      <c r="O237" t="str">
        <f t="shared" si="9"/>
        <v>July</v>
      </c>
      <c r="P237">
        <f t="shared" si="10"/>
        <v>7</v>
      </c>
      <c r="Q237">
        <f t="shared" si="11"/>
        <v>2023</v>
      </c>
    </row>
    <row r="238" spans="1:17" x14ac:dyDescent="0.25">
      <c r="A238">
        <v>1032</v>
      </c>
      <c r="B238" s="1">
        <v>45239</v>
      </c>
      <c r="C238" t="s">
        <v>14</v>
      </c>
      <c r="D238" t="s">
        <v>34</v>
      </c>
      <c r="E238" s="4">
        <v>804.47</v>
      </c>
      <c r="F238" s="2">
        <v>25</v>
      </c>
      <c r="G238" t="s">
        <v>35</v>
      </c>
      <c r="H238">
        <v>2934.3</v>
      </c>
      <c r="I238">
        <v>3337.4</v>
      </c>
      <c r="J238" t="s">
        <v>17</v>
      </c>
      <c r="K238" s="5">
        <v>0.25</v>
      </c>
      <c r="L238" t="s">
        <v>31</v>
      </c>
      <c r="M238" t="s">
        <v>22</v>
      </c>
      <c r="N238" t="s">
        <v>46</v>
      </c>
      <c r="O238" t="str">
        <f t="shared" si="9"/>
        <v>November</v>
      </c>
      <c r="P238">
        <f t="shared" si="10"/>
        <v>11</v>
      </c>
      <c r="Q238">
        <f t="shared" si="11"/>
        <v>2023</v>
      </c>
    </row>
    <row r="239" spans="1:17" x14ac:dyDescent="0.25">
      <c r="A239">
        <v>1070</v>
      </c>
      <c r="B239" s="1">
        <v>44927</v>
      </c>
      <c r="C239" t="s">
        <v>38</v>
      </c>
      <c r="D239" t="s">
        <v>25</v>
      </c>
      <c r="E239" s="4">
        <v>783.18</v>
      </c>
      <c r="F239" s="2">
        <v>12</v>
      </c>
      <c r="G239" t="s">
        <v>16</v>
      </c>
      <c r="H239">
        <v>664.33</v>
      </c>
      <c r="I239">
        <v>863.03</v>
      </c>
      <c r="J239" t="s">
        <v>17</v>
      </c>
      <c r="K239" s="5">
        <v>0.25</v>
      </c>
      <c r="L239" t="s">
        <v>27</v>
      </c>
      <c r="M239" t="s">
        <v>22</v>
      </c>
      <c r="N239" t="s">
        <v>39</v>
      </c>
      <c r="O239" t="str">
        <f t="shared" si="9"/>
        <v>January</v>
      </c>
      <c r="P239">
        <f t="shared" si="10"/>
        <v>1</v>
      </c>
      <c r="Q239">
        <f t="shared" si="11"/>
        <v>2023</v>
      </c>
    </row>
    <row r="240" spans="1:17" x14ac:dyDescent="0.25">
      <c r="A240">
        <v>1032</v>
      </c>
      <c r="B240" s="1">
        <v>45245</v>
      </c>
      <c r="C240" t="s">
        <v>42</v>
      </c>
      <c r="D240" t="s">
        <v>21</v>
      </c>
      <c r="E240" s="4">
        <v>9413.77</v>
      </c>
      <c r="F240" s="2">
        <v>1</v>
      </c>
      <c r="G240" t="s">
        <v>26</v>
      </c>
      <c r="H240">
        <v>651</v>
      </c>
      <c r="I240">
        <v>865.76</v>
      </c>
      <c r="J240" t="s">
        <v>17</v>
      </c>
      <c r="K240" s="5">
        <v>0.09</v>
      </c>
      <c r="L240" t="s">
        <v>27</v>
      </c>
      <c r="M240" t="s">
        <v>22</v>
      </c>
      <c r="N240" t="s">
        <v>51</v>
      </c>
      <c r="O240" t="str">
        <f t="shared" si="9"/>
        <v>November</v>
      </c>
      <c r="P240">
        <f t="shared" si="10"/>
        <v>11</v>
      </c>
      <c r="Q240">
        <f t="shared" si="11"/>
        <v>2023</v>
      </c>
    </row>
    <row r="241" spans="1:17" x14ac:dyDescent="0.25">
      <c r="A241">
        <v>1068</v>
      </c>
      <c r="B241" s="1">
        <v>44981</v>
      </c>
      <c r="C241" t="s">
        <v>14</v>
      </c>
      <c r="D241" t="s">
        <v>15</v>
      </c>
      <c r="E241" s="4">
        <v>5118.51</v>
      </c>
      <c r="F241" s="2">
        <v>22</v>
      </c>
      <c r="G241" t="s">
        <v>29</v>
      </c>
      <c r="H241">
        <v>3619.61</v>
      </c>
      <c r="I241">
        <v>3651.42</v>
      </c>
      <c r="J241" t="s">
        <v>17</v>
      </c>
      <c r="K241" s="5">
        <v>0.26</v>
      </c>
      <c r="L241" t="s">
        <v>27</v>
      </c>
      <c r="M241" t="s">
        <v>19</v>
      </c>
      <c r="N241" t="s">
        <v>20</v>
      </c>
      <c r="O241" t="str">
        <f t="shared" si="9"/>
        <v>February</v>
      </c>
      <c r="P241">
        <f t="shared" si="10"/>
        <v>2</v>
      </c>
      <c r="Q241">
        <f t="shared" si="11"/>
        <v>2023</v>
      </c>
    </row>
    <row r="242" spans="1:17" x14ac:dyDescent="0.25">
      <c r="A242">
        <v>1055</v>
      </c>
      <c r="B242" s="1">
        <v>45075</v>
      </c>
      <c r="C242" t="s">
        <v>38</v>
      </c>
      <c r="D242" t="s">
        <v>15</v>
      </c>
      <c r="E242" s="4">
        <v>4153.18</v>
      </c>
      <c r="F242" s="2">
        <v>40</v>
      </c>
      <c r="G242" t="s">
        <v>16</v>
      </c>
      <c r="H242">
        <v>959.73</v>
      </c>
      <c r="I242">
        <v>1111.4100000000001</v>
      </c>
      <c r="J242" t="s">
        <v>30</v>
      </c>
      <c r="K242" s="5">
        <v>0.23</v>
      </c>
      <c r="L242" t="s">
        <v>27</v>
      </c>
      <c r="M242" t="s">
        <v>19</v>
      </c>
      <c r="N242" t="s">
        <v>40</v>
      </c>
      <c r="O242" t="str">
        <f t="shared" si="9"/>
        <v>May</v>
      </c>
      <c r="P242">
        <f t="shared" si="10"/>
        <v>5</v>
      </c>
      <c r="Q242">
        <f t="shared" si="11"/>
        <v>2023</v>
      </c>
    </row>
    <row r="243" spans="1:17" x14ac:dyDescent="0.25">
      <c r="A243">
        <v>1075</v>
      </c>
      <c r="B243" s="1">
        <v>45235</v>
      </c>
      <c r="C243" t="s">
        <v>14</v>
      </c>
      <c r="D243" t="s">
        <v>34</v>
      </c>
      <c r="E243" s="4">
        <v>8127.7</v>
      </c>
      <c r="F243" s="2">
        <v>37</v>
      </c>
      <c r="G243" t="s">
        <v>26</v>
      </c>
      <c r="H243">
        <v>1675.51</v>
      </c>
      <c r="I243">
        <v>1906.6399999999901</v>
      </c>
      <c r="J243" t="s">
        <v>30</v>
      </c>
      <c r="K243" s="5">
        <v>0.13</v>
      </c>
      <c r="L243" t="s">
        <v>27</v>
      </c>
      <c r="M243" t="s">
        <v>19</v>
      </c>
      <c r="N243" t="s">
        <v>46</v>
      </c>
      <c r="O243" t="str">
        <f t="shared" si="9"/>
        <v>November</v>
      </c>
      <c r="P243">
        <f t="shared" si="10"/>
        <v>11</v>
      </c>
      <c r="Q243">
        <f t="shared" si="11"/>
        <v>2023</v>
      </c>
    </row>
    <row r="244" spans="1:17" x14ac:dyDescent="0.25">
      <c r="A244">
        <v>1056</v>
      </c>
      <c r="B244" s="1">
        <v>45063</v>
      </c>
      <c r="C244" t="s">
        <v>24</v>
      </c>
      <c r="D244" t="s">
        <v>21</v>
      </c>
      <c r="E244" s="4">
        <v>8374.68</v>
      </c>
      <c r="F244" s="2">
        <v>47</v>
      </c>
      <c r="G244" t="s">
        <v>16</v>
      </c>
      <c r="H244">
        <v>2461.6999999999998</v>
      </c>
      <c r="I244">
        <v>2529.02</v>
      </c>
      <c r="J244" t="s">
        <v>17</v>
      </c>
      <c r="K244" s="5">
        <v>0.22</v>
      </c>
      <c r="L244" t="s">
        <v>18</v>
      </c>
      <c r="M244" t="s">
        <v>22</v>
      </c>
      <c r="N244" t="s">
        <v>47</v>
      </c>
      <c r="O244" t="str">
        <f t="shared" si="9"/>
        <v>May</v>
      </c>
      <c r="P244">
        <f t="shared" si="10"/>
        <v>5</v>
      </c>
      <c r="Q244">
        <f t="shared" si="11"/>
        <v>2023</v>
      </c>
    </row>
    <row r="245" spans="1:17" x14ac:dyDescent="0.25">
      <c r="A245">
        <v>1017</v>
      </c>
      <c r="B245" s="1">
        <v>45128</v>
      </c>
      <c r="C245" t="s">
        <v>24</v>
      </c>
      <c r="D245" t="s">
        <v>34</v>
      </c>
      <c r="E245" s="4">
        <v>3388.69</v>
      </c>
      <c r="F245" s="2">
        <v>1</v>
      </c>
      <c r="G245" t="s">
        <v>26</v>
      </c>
      <c r="H245">
        <v>172.59</v>
      </c>
      <c r="I245">
        <v>404.69</v>
      </c>
      <c r="J245" t="s">
        <v>17</v>
      </c>
      <c r="K245" s="5">
        <v>0.28999999999999998</v>
      </c>
      <c r="L245" t="s">
        <v>27</v>
      </c>
      <c r="M245" t="s">
        <v>19</v>
      </c>
      <c r="N245" t="s">
        <v>50</v>
      </c>
      <c r="O245" t="str">
        <f t="shared" si="9"/>
        <v>July</v>
      </c>
      <c r="P245">
        <f t="shared" si="10"/>
        <v>7</v>
      </c>
      <c r="Q245">
        <f t="shared" si="11"/>
        <v>2023</v>
      </c>
    </row>
    <row r="246" spans="1:17" x14ac:dyDescent="0.25">
      <c r="A246">
        <v>1038</v>
      </c>
      <c r="B246" s="1">
        <v>45239</v>
      </c>
      <c r="C246" t="s">
        <v>24</v>
      </c>
      <c r="D246" t="s">
        <v>34</v>
      </c>
      <c r="E246" s="4">
        <v>6966.82</v>
      </c>
      <c r="F246" s="2">
        <v>1</v>
      </c>
      <c r="G246" t="s">
        <v>26</v>
      </c>
      <c r="H246">
        <v>1281.6500000000001</v>
      </c>
      <c r="I246">
        <v>1709.71</v>
      </c>
      <c r="J246" t="s">
        <v>17</v>
      </c>
      <c r="K246" s="5">
        <v>0.14000000000000001</v>
      </c>
      <c r="L246" t="s">
        <v>31</v>
      </c>
      <c r="M246" t="s">
        <v>19</v>
      </c>
      <c r="N246" t="s">
        <v>50</v>
      </c>
      <c r="O246" t="str">
        <f t="shared" si="9"/>
        <v>November</v>
      </c>
      <c r="P246">
        <f t="shared" si="10"/>
        <v>11</v>
      </c>
      <c r="Q246">
        <f t="shared" si="11"/>
        <v>2023</v>
      </c>
    </row>
    <row r="247" spans="1:17" x14ac:dyDescent="0.25">
      <c r="A247">
        <v>1024</v>
      </c>
      <c r="B247" s="1">
        <v>45043</v>
      </c>
      <c r="C247" t="s">
        <v>42</v>
      </c>
      <c r="D247" t="s">
        <v>21</v>
      </c>
      <c r="E247" s="4">
        <v>7734.12</v>
      </c>
      <c r="F247" s="2">
        <v>42</v>
      </c>
      <c r="G247" t="s">
        <v>26</v>
      </c>
      <c r="H247">
        <v>2069.0500000000002</v>
      </c>
      <c r="I247">
        <v>2363.9</v>
      </c>
      <c r="J247" t="s">
        <v>17</v>
      </c>
      <c r="K247" s="5">
        <v>7.0000000000000007E-2</v>
      </c>
      <c r="L247" t="s">
        <v>18</v>
      </c>
      <c r="M247" t="s">
        <v>19</v>
      </c>
      <c r="N247" t="s">
        <v>51</v>
      </c>
      <c r="O247" t="str">
        <f t="shared" si="9"/>
        <v>April</v>
      </c>
      <c r="P247">
        <f t="shared" si="10"/>
        <v>4</v>
      </c>
      <c r="Q247">
        <f t="shared" si="11"/>
        <v>2023</v>
      </c>
    </row>
    <row r="248" spans="1:17" x14ac:dyDescent="0.25">
      <c r="A248">
        <v>1069</v>
      </c>
      <c r="B248" s="1">
        <v>45080</v>
      </c>
      <c r="C248" t="s">
        <v>24</v>
      </c>
      <c r="D248" t="s">
        <v>21</v>
      </c>
      <c r="E248" s="4">
        <v>6581.04</v>
      </c>
      <c r="F248" s="2">
        <v>42</v>
      </c>
      <c r="G248" t="s">
        <v>29</v>
      </c>
      <c r="H248">
        <v>1434.2</v>
      </c>
      <c r="I248">
        <v>1482.88</v>
      </c>
      <c r="J248" t="s">
        <v>30</v>
      </c>
      <c r="K248" s="5">
        <v>0.28000000000000003</v>
      </c>
      <c r="L248" t="s">
        <v>31</v>
      </c>
      <c r="M248" t="s">
        <v>22</v>
      </c>
      <c r="N248" t="s">
        <v>47</v>
      </c>
      <c r="O248" t="str">
        <f t="shared" si="9"/>
        <v>June</v>
      </c>
      <c r="P248">
        <f t="shared" si="10"/>
        <v>6</v>
      </c>
      <c r="Q248">
        <f t="shared" si="11"/>
        <v>2023</v>
      </c>
    </row>
    <row r="249" spans="1:17" x14ac:dyDescent="0.25">
      <c r="A249">
        <v>1098</v>
      </c>
      <c r="B249" s="1">
        <v>45217</v>
      </c>
      <c r="C249" t="s">
        <v>38</v>
      </c>
      <c r="D249" t="s">
        <v>21</v>
      </c>
      <c r="E249" s="4">
        <v>1600.79</v>
      </c>
      <c r="F249" s="2">
        <v>21</v>
      </c>
      <c r="G249" t="s">
        <v>16</v>
      </c>
      <c r="H249">
        <v>725.03</v>
      </c>
      <c r="I249">
        <v>828.94999999999902</v>
      </c>
      <c r="J249" t="s">
        <v>30</v>
      </c>
      <c r="K249" s="5">
        <v>0.18</v>
      </c>
      <c r="L249" t="s">
        <v>27</v>
      </c>
      <c r="M249" t="s">
        <v>19</v>
      </c>
      <c r="N249" t="s">
        <v>41</v>
      </c>
      <c r="O249" t="str">
        <f t="shared" si="9"/>
        <v>October</v>
      </c>
      <c r="P249">
        <f t="shared" si="10"/>
        <v>10</v>
      </c>
      <c r="Q249">
        <f t="shared" si="11"/>
        <v>2023</v>
      </c>
    </row>
    <row r="250" spans="1:17" x14ac:dyDescent="0.25">
      <c r="A250">
        <v>1070</v>
      </c>
      <c r="B250" s="1">
        <v>44989</v>
      </c>
      <c r="C250" t="s">
        <v>14</v>
      </c>
      <c r="D250" t="s">
        <v>25</v>
      </c>
      <c r="E250" s="4">
        <v>8771.24</v>
      </c>
      <c r="F250" s="2">
        <v>15</v>
      </c>
      <c r="G250" t="s">
        <v>35</v>
      </c>
      <c r="H250">
        <v>3653.66</v>
      </c>
      <c r="I250">
        <v>3896.19</v>
      </c>
      <c r="J250" t="s">
        <v>30</v>
      </c>
      <c r="K250" s="5">
        <v>0.03</v>
      </c>
      <c r="L250" t="s">
        <v>31</v>
      </c>
      <c r="M250" t="s">
        <v>22</v>
      </c>
      <c r="N250" t="s">
        <v>32</v>
      </c>
      <c r="O250" t="str">
        <f t="shared" si="9"/>
        <v>March</v>
      </c>
      <c r="P250">
        <f t="shared" si="10"/>
        <v>3</v>
      </c>
      <c r="Q250">
        <f t="shared" si="11"/>
        <v>2023</v>
      </c>
    </row>
    <row r="251" spans="1:17" x14ac:dyDescent="0.25">
      <c r="A251">
        <v>1086</v>
      </c>
      <c r="B251" s="1">
        <v>45170</v>
      </c>
      <c r="C251" t="s">
        <v>33</v>
      </c>
      <c r="D251" t="s">
        <v>21</v>
      </c>
      <c r="E251" s="4">
        <v>5437.04</v>
      </c>
      <c r="F251" s="2">
        <v>17</v>
      </c>
      <c r="G251" t="s">
        <v>35</v>
      </c>
      <c r="H251">
        <v>4075.08</v>
      </c>
      <c r="I251">
        <v>4262.21</v>
      </c>
      <c r="J251" t="s">
        <v>30</v>
      </c>
      <c r="K251" s="5">
        <v>0.17</v>
      </c>
      <c r="L251" t="s">
        <v>18</v>
      </c>
      <c r="M251" t="s">
        <v>19</v>
      </c>
      <c r="N251" t="s">
        <v>37</v>
      </c>
      <c r="O251" t="str">
        <f t="shared" si="9"/>
        <v>September</v>
      </c>
      <c r="P251">
        <f t="shared" si="10"/>
        <v>9</v>
      </c>
      <c r="Q251">
        <f t="shared" si="11"/>
        <v>2023</v>
      </c>
    </row>
    <row r="252" spans="1:17" x14ac:dyDescent="0.25">
      <c r="A252">
        <v>1011</v>
      </c>
      <c r="B252" s="1">
        <v>44951</v>
      </c>
      <c r="C252" t="s">
        <v>38</v>
      </c>
      <c r="D252" t="s">
        <v>15</v>
      </c>
      <c r="E252" s="4">
        <v>2896.48</v>
      </c>
      <c r="F252" s="2">
        <v>22</v>
      </c>
      <c r="G252" t="s">
        <v>35</v>
      </c>
      <c r="H252">
        <v>1324.52</v>
      </c>
      <c r="I252">
        <v>1510.3</v>
      </c>
      <c r="J252" t="s">
        <v>17</v>
      </c>
      <c r="K252" s="5">
        <v>0.15</v>
      </c>
      <c r="L252" t="s">
        <v>18</v>
      </c>
      <c r="M252" t="s">
        <v>22</v>
      </c>
      <c r="N252" t="s">
        <v>40</v>
      </c>
      <c r="O252" t="str">
        <f t="shared" si="9"/>
        <v>January</v>
      </c>
      <c r="P252">
        <f t="shared" si="10"/>
        <v>1</v>
      </c>
      <c r="Q252">
        <f t="shared" si="11"/>
        <v>2023</v>
      </c>
    </row>
    <row r="253" spans="1:17" x14ac:dyDescent="0.25">
      <c r="A253">
        <v>1016</v>
      </c>
      <c r="B253" s="1">
        <v>45016</v>
      </c>
      <c r="C253" t="s">
        <v>38</v>
      </c>
      <c r="D253" t="s">
        <v>34</v>
      </c>
      <c r="E253" s="4">
        <v>4309.76</v>
      </c>
      <c r="F253" s="2">
        <v>38</v>
      </c>
      <c r="G253" t="s">
        <v>35</v>
      </c>
      <c r="H253">
        <v>3883.38</v>
      </c>
      <c r="I253">
        <v>4152.72</v>
      </c>
      <c r="J253" t="s">
        <v>17</v>
      </c>
      <c r="K253" s="5">
        <v>0.26</v>
      </c>
      <c r="L253" t="s">
        <v>18</v>
      </c>
      <c r="M253" t="s">
        <v>19</v>
      </c>
      <c r="N253" t="s">
        <v>48</v>
      </c>
      <c r="O253" t="str">
        <f t="shared" si="9"/>
        <v>March</v>
      </c>
      <c r="P253">
        <f t="shared" si="10"/>
        <v>3</v>
      </c>
      <c r="Q253">
        <f t="shared" si="11"/>
        <v>2023</v>
      </c>
    </row>
    <row r="254" spans="1:17" x14ac:dyDescent="0.25">
      <c r="A254">
        <v>1097</v>
      </c>
      <c r="B254" s="1">
        <v>45001</v>
      </c>
      <c r="C254" t="s">
        <v>24</v>
      </c>
      <c r="D254" t="s">
        <v>25</v>
      </c>
      <c r="E254" s="4">
        <v>471.95</v>
      </c>
      <c r="F254" s="2">
        <v>35</v>
      </c>
      <c r="G254" t="s">
        <v>26</v>
      </c>
      <c r="H254">
        <v>1958.49</v>
      </c>
      <c r="I254">
        <v>2254.84</v>
      </c>
      <c r="J254" t="s">
        <v>30</v>
      </c>
      <c r="K254" s="5">
        <v>0.16</v>
      </c>
      <c r="L254" t="s">
        <v>31</v>
      </c>
      <c r="M254" t="s">
        <v>19</v>
      </c>
      <c r="N254" t="s">
        <v>28</v>
      </c>
      <c r="O254" t="str">
        <f t="shared" si="9"/>
        <v>March</v>
      </c>
      <c r="P254">
        <f t="shared" si="10"/>
        <v>3</v>
      </c>
      <c r="Q254">
        <f t="shared" si="11"/>
        <v>2023</v>
      </c>
    </row>
    <row r="255" spans="1:17" x14ac:dyDescent="0.25">
      <c r="A255">
        <v>1073</v>
      </c>
      <c r="B255" s="1">
        <v>45220</v>
      </c>
      <c r="C255" t="s">
        <v>42</v>
      </c>
      <c r="D255" t="s">
        <v>21</v>
      </c>
      <c r="E255" s="4">
        <v>1365.88</v>
      </c>
      <c r="F255" s="2">
        <v>45</v>
      </c>
      <c r="G255" t="s">
        <v>16</v>
      </c>
      <c r="H255">
        <v>2558.09</v>
      </c>
      <c r="I255">
        <v>2958.55</v>
      </c>
      <c r="J255" t="s">
        <v>30</v>
      </c>
      <c r="K255" s="5">
        <v>0.08</v>
      </c>
      <c r="L255" t="s">
        <v>18</v>
      </c>
      <c r="M255" t="s">
        <v>19</v>
      </c>
      <c r="N255" t="s">
        <v>51</v>
      </c>
      <c r="O255" t="str">
        <f t="shared" si="9"/>
        <v>October</v>
      </c>
      <c r="P255">
        <f t="shared" si="10"/>
        <v>10</v>
      </c>
      <c r="Q255">
        <f t="shared" si="11"/>
        <v>2023</v>
      </c>
    </row>
    <row r="256" spans="1:17" x14ac:dyDescent="0.25">
      <c r="A256">
        <v>1059</v>
      </c>
      <c r="B256" s="1">
        <v>45136</v>
      </c>
      <c r="C256" t="s">
        <v>14</v>
      </c>
      <c r="D256" t="s">
        <v>25</v>
      </c>
      <c r="E256" s="4">
        <v>7678.91</v>
      </c>
      <c r="F256" s="2">
        <v>16</v>
      </c>
      <c r="G256" t="s">
        <v>16</v>
      </c>
      <c r="H256">
        <v>4287.21</v>
      </c>
      <c r="I256">
        <v>4464.28</v>
      </c>
      <c r="J256" t="s">
        <v>17</v>
      </c>
      <c r="K256" s="5">
        <v>0.2</v>
      </c>
      <c r="L256" t="s">
        <v>31</v>
      </c>
      <c r="M256" t="s">
        <v>22</v>
      </c>
      <c r="N256" t="s">
        <v>32</v>
      </c>
      <c r="O256" t="str">
        <f t="shared" si="9"/>
        <v>July</v>
      </c>
      <c r="P256">
        <f t="shared" si="10"/>
        <v>7</v>
      </c>
      <c r="Q256">
        <f t="shared" si="11"/>
        <v>2023</v>
      </c>
    </row>
    <row r="257" spans="1:17" x14ac:dyDescent="0.25">
      <c r="A257">
        <v>1070</v>
      </c>
      <c r="B257" s="1">
        <v>45273</v>
      </c>
      <c r="C257" t="s">
        <v>42</v>
      </c>
      <c r="D257" t="s">
        <v>21</v>
      </c>
      <c r="E257" s="4">
        <v>100.12</v>
      </c>
      <c r="F257" s="2">
        <v>8</v>
      </c>
      <c r="G257" t="s">
        <v>29</v>
      </c>
      <c r="H257">
        <v>3762.27</v>
      </c>
      <c r="I257">
        <v>4166.95</v>
      </c>
      <c r="J257" t="s">
        <v>17</v>
      </c>
      <c r="K257" s="5">
        <v>0.16</v>
      </c>
      <c r="L257" t="s">
        <v>27</v>
      </c>
      <c r="M257" t="s">
        <v>19</v>
      </c>
      <c r="N257" t="s">
        <v>51</v>
      </c>
      <c r="O257" t="str">
        <f t="shared" si="9"/>
        <v>December</v>
      </c>
      <c r="P257">
        <f t="shared" si="10"/>
        <v>12</v>
      </c>
      <c r="Q257">
        <f t="shared" si="11"/>
        <v>2023</v>
      </c>
    </row>
    <row r="258" spans="1:17" x14ac:dyDescent="0.25">
      <c r="A258">
        <v>1080</v>
      </c>
      <c r="B258" s="1">
        <v>44943</v>
      </c>
      <c r="C258" t="s">
        <v>14</v>
      </c>
      <c r="D258" t="s">
        <v>25</v>
      </c>
      <c r="E258" s="4">
        <v>4224</v>
      </c>
      <c r="F258" s="2">
        <v>47</v>
      </c>
      <c r="G258" t="s">
        <v>16</v>
      </c>
      <c r="H258">
        <v>4035.33</v>
      </c>
      <c r="I258">
        <v>4211.25</v>
      </c>
      <c r="J258" t="s">
        <v>17</v>
      </c>
      <c r="K258" s="5">
        <v>7.0000000000000007E-2</v>
      </c>
      <c r="L258" t="s">
        <v>27</v>
      </c>
      <c r="M258" t="s">
        <v>19</v>
      </c>
      <c r="N258" t="s">
        <v>32</v>
      </c>
      <c r="O258" t="str">
        <f t="shared" ref="O258:O321" si="12">TEXT(B258,"mmmm")</f>
        <v>January</v>
      </c>
      <c r="P258">
        <f t="shared" ref="P258:P321" si="13">MONTH(B258)</f>
        <v>1</v>
      </c>
      <c r="Q258">
        <f t="shared" ref="Q258:Q321" si="14">YEAR(B258)</f>
        <v>2023</v>
      </c>
    </row>
    <row r="259" spans="1:17" x14ac:dyDescent="0.25">
      <c r="A259">
        <v>1093</v>
      </c>
      <c r="B259" s="1">
        <v>45054</v>
      </c>
      <c r="C259" t="s">
        <v>14</v>
      </c>
      <c r="D259" t="s">
        <v>34</v>
      </c>
      <c r="E259" s="4">
        <v>5272.85</v>
      </c>
      <c r="F259" s="2">
        <v>17</v>
      </c>
      <c r="G259" t="s">
        <v>16</v>
      </c>
      <c r="H259">
        <v>727.38</v>
      </c>
      <c r="I259">
        <v>764.54</v>
      </c>
      <c r="J259" t="s">
        <v>17</v>
      </c>
      <c r="K259" s="5">
        <v>0.17</v>
      </c>
      <c r="L259" t="s">
        <v>31</v>
      </c>
      <c r="M259" t="s">
        <v>22</v>
      </c>
      <c r="N259" t="s">
        <v>46</v>
      </c>
      <c r="O259" t="str">
        <f t="shared" si="12"/>
        <v>May</v>
      </c>
      <c r="P259">
        <f t="shared" si="13"/>
        <v>5</v>
      </c>
      <c r="Q259">
        <f t="shared" si="14"/>
        <v>2023</v>
      </c>
    </row>
    <row r="260" spans="1:17" x14ac:dyDescent="0.25">
      <c r="A260">
        <v>1003</v>
      </c>
      <c r="B260" s="1">
        <v>45290</v>
      </c>
      <c r="C260" t="s">
        <v>42</v>
      </c>
      <c r="D260" t="s">
        <v>34</v>
      </c>
      <c r="E260" s="4">
        <v>640.88</v>
      </c>
      <c r="F260" s="2">
        <v>17</v>
      </c>
      <c r="G260" t="s">
        <v>16</v>
      </c>
      <c r="H260">
        <v>395.11</v>
      </c>
      <c r="I260">
        <v>676.66</v>
      </c>
      <c r="J260" t="s">
        <v>17</v>
      </c>
      <c r="K260" s="5">
        <v>0.25</v>
      </c>
      <c r="L260" t="s">
        <v>18</v>
      </c>
      <c r="M260" t="s">
        <v>22</v>
      </c>
      <c r="N260" t="s">
        <v>52</v>
      </c>
      <c r="O260" t="str">
        <f t="shared" si="12"/>
        <v>December</v>
      </c>
      <c r="P260">
        <f t="shared" si="13"/>
        <v>12</v>
      </c>
      <c r="Q260">
        <f t="shared" si="14"/>
        <v>2023</v>
      </c>
    </row>
    <row r="261" spans="1:17" x14ac:dyDescent="0.25">
      <c r="A261">
        <v>1020</v>
      </c>
      <c r="B261" s="1">
        <v>45177</v>
      </c>
      <c r="C261" t="s">
        <v>38</v>
      </c>
      <c r="D261" t="s">
        <v>15</v>
      </c>
      <c r="E261" s="4">
        <v>9733.4699999999993</v>
      </c>
      <c r="F261" s="2">
        <v>26</v>
      </c>
      <c r="G261" t="s">
        <v>29</v>
      </c>
      <c r="H261">
        <v>4472.3500000000004</v>
      </c>
      <c r="I261">
        <v>4770.42</v>
      </c>
      <c r="J261" t="s">
        <v>30</v>
      </c>
      <c r="K261" s="5">
        <v>0.01</v>
      </c>
      <c r="L261" t="s">
        <v>31</v>
      </c>
      <c r="M261" t="s">
        <v>22</v>
      </c>
      <c r="N261" t="s">
        <v>40</v>
      </c>
      <c r="O261" t="str">
        <f t="shared" si="12"/>
        <v>September</v>
      </c>
      <c r="P261">
        <f t="shared" si="13"/>
        <v>9</v>
      </c>
      <c r="Q261">
        <f t="shared" si="14"/>
        <v>2023</v>
      </c>
    </row>
    <row r="262" spans="1:17" x14ac:dyDescent="0.25">
      <c r="A262">
        <v>1059</v>
      </c>
      <c r="B262" s="1">
        <v>45105</v>
      </c>
      <c r="C262" t="s">
        <v>14</v>
      </c>
      <c r="D262" t="s">
        <v>15</v>
      </c>
      <c r="E262" s="4">
        <v>2338.64</v>
      </c>
      <c r="F262" s="2">
        <v>13</v>
      </c>
      <c r="G262" t="s">
        <v>35</v>
      </c>
      <c r="H262">
        <v>1969.78</v>
      </c>
      <c r="I262">
        <v>2437.6999999999998</v>
      </c>
      <c r="J262" t="s">
        <v>30</v>
      </c>
      <c r="K262" s="5">
        <v>0.19</v>
      </c>
      <c r="L262" t="s">
        <v>31</v>
      </c>
      <c r="M262" t="s">
        <v>22</v>
      </c>
      <c r="N262" t="s">
        <v>20</v>
      </c>
      <c r="O262" t="str">
        <f t="shared" si="12"/>
        <v>June</v>
      </c>
      <c r="P262">
        <f t="shared" si="13"/>
        <v>6</v>
      </c>
      <c r="Q262">
        <f t="shared" si="14"/>
        <v>2023</v>
      </c>
    </row>
    <row r="263" spans="1:17" x14ac:dyDescent="0.25">
      <c r="A263">
        <v>1036</v>
      </c>
      <c r="B263" s="1">
        <v>45108</v>
      </c>
      <c r="C263" t="s">
        <v>42</v>
      </c>
      <c r="D263" t="s">
        <v>21</v>
      </c>
      <c r="E263" s="4">
        <v>3111.57</v>
      </c>
      <c r="F263" s="2">
        <v>17</v>
      </c>
      <c r="G263" t="s">
        <v>16</v>
      </c>
      <c r="H263">
        <v>1475</v>
      </c>
      <c r="I263">
        <v>1840.77</v>
      </c>
      <c r="J263" t="s">
        <v>17</v>
      </c>
      <c r="K263" s="5">
        <v>0.1</v>
      </c>
      <c r="L263" t="s">
        <v>31</v>
      </c>
      <c r="M263" t="s">
        <v>19</v>
      </c>
      <c r="N263" t="s">
        <v>51</v>
      </c>
      <c r="O263" t="str">
        <f t="shared" si="12"/>
        <v>July</v>
      </c>
      <c r="P263">
        <f t="shared" si="13"/>
        <v>7</v>
      </c>
      <c r="Q263">
        <f t="shared" si="14"/>
        <v>2023</v>
      </c>
    </row>
    <row r="264" spans="1:17" x14ac:dyDescent="0.25">
      <c r="A264">
        <v>1019</v>
      </c>
      <c r="B264" s="1">
        <v>45078</v>
      </c>
      <c r="C264" t="s">
        <v>14</v>
      </c>
      <c r="D264" t="s">
        <v>34</v>
      </c>
      <c r="E264" s="4">
        <v>3109.03</v>
      </c>
      <c r="F264" s="2">
        <v>38</v>
      </c>
      <c r="G264" t="s">
        <v>29</v>
      </c>
      <c r="H264">
        <v>3637.25</v>
      </c>
      <c r="I264">
        <v>4096.96</v>
      </c>
      <c r="J264" t="s">
        <v>17</v>
      </c>
      <c r="K264" s="5">
        <v>0.09</v>
      </c>
      <c r="L264" t="s">
        <v>27</v>
      </c>
      <c r="M264" t="s">
        <v>19</v>
      </c>
      <c r="N264" t="s">
        <v>46</v>
      </c>
      <c r="O264" t="str">
        <f t="shared" si="12"/>
        <v>June</v>
      </c>
      <c r="P264">
        <f t="shared" si="13"/>
        <v>6</v>
      </c>
      <c r="Q264">
        <f t="shared" si="14"/>
        <v>2023</v>
      </c>
    </row>
    <row r="265" spans="1:17" x14ac:dyDescent="0.25">
      <c r="A265">
        <v>1090</v>
      </c>
      <c r="B265" s="1">
        <v>44951</v>
      </c>
      <c r="C265" t="s">
        <v>33</v>
      </c>
      <c r="D265" t="s">
        <v>25</v>
      </c>
      <c r="E265" s="4">
        <v>2381.12</v>
      </c>
      <c r="F265" s="2">
        <v>17</v>
      </c>
      <c r="G265" t="s">
        <v>29</v>
      </c>
      <c r="H265">
        <v>4190.26</v>
      </c>
      <c r="I265">
        <v>4645.3500000000004</v>
      </c>
      <c r="J265" t="s">
        <v>30</v>
      </c>
      <c r="K265" s="5">
        <v>0.12</v>
      </c>
      <c r="L265" t="s">
        <v>31</v>
      </c>
      <c r="M265" t="s">
        <v>22</v>
      </c>
      <c r="N265" t="s">
        <v>44</v>
      </c>
      <c r="O265" t="str">
        <f t="shared" si="12"/>
        <v>January</v>
      </c>
      <c r="P265">
        <f t="shared" si="13"/>
        <v>1</v>
      </c>
      <c r="Q265">
        <f t="shared" si="14"/>
        <v>2023</v>
      </c>
    </row>
    <row r="266" spans="1:17" x14ac:dyDescent="0.25">
      <c r="A266">
        <v>1067</v>
      </c>
      <c r="B266" s="1">
        <v>45106</v>
      </c>
      <c r="C266" t="s">
        <v>38</v>
      </c>
      <c r="D266" t="s">
        <v>25</v>
      </c>
      <c r="E266" s="4">
        <v>114.59</v>
      </c>
      <c r="F266" s="2">
        <v>48</v>
      </c>
      <c r="G266" t="s">
        <v>26</v>
      </c>
      <c r="H266">
        <v>4319.32</v>
      </c>
      <c r="I266">
        <v>4625.5599999999904</v>
      </c>
      <c r="J266" t="s">
        <v>17</v>
      </c>
      <c r="K266" s="5">
        <v>0.1</v>
      </c>
      <c r="L266" t="s">
        <v>27</v>
      </c>
      <c r="M266" t="s">
        <v>19</v>
      </c>
      <c r="N266" t="s">
        <v>39</v>
      </c>
      <c r="O266" t="str">
        <f t="shared" si="12"/>
        <v>June</v>
      </c>
      <c r="P266">
        <f t="shared" si="13"/>
        <v>6</v>
      </c>
      <c r="Q266">
        <f t="shared" si="14"/>
        <v>2023</v>
      </c>
    </row>
    <row r="267" spans="1:17" x14ac:dyDescent="0.25">
      <c r="A267">
        <v>1019</v>
      </c>
      <c r="B267" s="1">
        <v>45124</v>
      </c>
      <c r="C267" t="s">
        <v>24</v>
      </c>
      <c r="D267" t="s">
        <v>25</v>
      </c>
      <c r="E267" s="4">
        <v>7320.51</v>
      </c>
      <c r="F267" s="2">
        <v>14</v>
      </c>
      <c r="G267" t="s">
        <v>29</v>
      </c>
      <c r="H267">
        <v>1614.19</v>
      </c>
      <c r="I267">
        <v>1882.79</v>
      </c>
      <c r="J267" t="s">
        <v>30</v>
      </c>
      <c r="K267" s="5">
        <v>0.25</v>
      </c>
      <c r="L267" t="s">
        <v>31</v>
      </c>
      <c r="M267" t="s">
        <v>22</v>
      </c>
      <c r="N267" t="s">
        <v>28</v>
      </c>
      <c r="O267" t="str">
        <f t="shared" si="12"/>
        <v>July</v>
      </c>
      <c r="P267">
        <f t="shared" si="13"/>
        <v>7</v>
      </c>
      <c r="Q267">
        <f t="shared" si="14"/>
        <v>2023</v>
      </c>
    </row>
    <row r="268" spans="1:17" x14ac:dyDescent="0.25">
      <c r="A268">
        <v>1020</v>
      </c>
      <c r="B268" s="1">
        <v>45270</v>
      </c>
      <c r="C268" t="s">
        <v>14</v>
      </c>
      <c r="D268" t="s">
        <v>15</v>
      </c>
      <c r="E268" s="4">
        <v>9671.77</v>
      </c>
      <c r="F268" s="2">
        <v>45</v>
      </c>
      <c r="G268" t="s">
        <v>35</v>
      </c>
      <c r="H268">
        <v>4268.45</v>
      </c>
      <c r="I268">
        <v>4551.5999999999904</v>
      </c>
      <c r="J268" t="s">
        <v>30</v>
      </c>
      <c r="K268" s="5">
        <v>0.08</v>
      </c>
      <c r="L268" t="s">
        <v>27</v>
      </c>
      <c r="M268" t="s">
        <v>19</v>
      </c>
      <c r="N268" t="s">
        <v>20</v>
      </c>
      <c r="O268" t="str">
        <f t="shared" si="12"/>
        <v>December</v>
      </c>
      <c r="P268">
        <f t="shared" si="13"/>
        <v>12</v>
      </c>
      <c r="Q268">
        <f t="shared" si="14"/>
        <v>2023</v>
      </c>
    </row>
    <row r="269" spans="1:17" x14ac:dyDescent="0.25">
      <c r="A269">
        <v>1096</v>
      </c>
      <c r="B269" s="1">
        <v>45087</v>
      </c>
      <c r="C269" t="s">
        <v>33</v>
      </c>
      <c r="D269" t="s">
        <v>25</v>
      </c>
      <c r="E269" s="4">
        <v>2320.5100000000002</v>
      </c>
      <c r="F269" s="2">
        <v>6</v>
      </c>
      <c r="G269" t="s">
        <v>16</v>
      </c>
      <c r="H269">
        <v>252.62</v>
      </c>
      <c r="I269">
        <v>742</v>
      </c>
      <c r="J269" t="s">
        <v>30</v>
      </c>
      <c r="K269" s="5">
        <v>0.22</v>
      </c>
      <c r="L269" t="s">
        <v>31</v>
      </c>
      <c r="M269" t="s">
        <v>22</v>
      </c>
      <c r="N269" t="s">
        <v>44</v>
      </c>
      <c r="O269" t="str">
        <f t="shared" si="12"/>
        <v>June</v>
      </c>
      <c r="P269">
        <f t="shared" si="13"/>
        <v>6</v>
      </c>
      <c r="Q269">
        <f t="shared" si="14"/>
        <v>2023</v>
      </c>
    </row>
    <row r="270" spans="1:17" x14ac:dyDescent="0.25">
      <c r="A270">
        <v>1071</v>
      </c>
      <c r="B270" s="1">
        <v>45103</v>
      </c>
      <c r="C270" t="s">
        <v>24</v>
      </c>
      <c r="D270" t="s">
        <v>15</v>
      </c>
      <c r="E270" s="4">
        <v>6664.17</v>
      </c>
      <c r="F270" s="2">
        <v>35</v>
      </c>
      <c r="G270" t="s">
        <v>29</v>
      </c>
      <c r="H270">
        <v>295.82</v>
      </c>
      <c r="I270">
        <v>684.67</v>
      </c>
      <c r="J270" t="s">
        <v>30</v>
      </c>
      <c r="K270" s="5">
        <v>0.03</v>
      </c>
      <c r="L270" t="s">
        <v>31</v>
      </c>
      <c r="M270" t="s">
        <v>19</v>
      </c>
      <c r="N270" t="s">
        <v>45</v>
      </c>
      <c r="O270" t="str">
        <f t="shared" si="12"/>
        <v>June</v>
      </c>
      <c r="P270">
        <f t="shared" si="13"/>
        <v>6</v>
      </c>
      <c r="Q270">
        <f t="shared" si="14"/>
        <v>2023</v>
      </c>
    </row>
    <row r="271" spans="1:17" x14ac:dyDescent="0.25">
      <c r="A271">
        <v>1052</v>
      </c>
      <c r="B271" s="1">
        <v>45211</v>
      </c>
      <c r="C271" t="s">
        <v>24</v>
      </c>
      <c r="D271" t="s">
        <v>15</v>
      </c>
      <c r="E271" s="4">
        <v>7444.77</v>
      </c>
      <c r="F271" s="2">
        <v>46</v>
      </c>
      <c r="G271" t="s">
        <v>35</v>
      </c>
      <c r="H271">
        <v>3136.42</v>
      </c>
      <c r="I271">
        <v>3198.49</v>
      </c>
      <c r="J271" t="s">
        <v>17</v>
      </c>
      <c r="K271" s="5">
        <v>0.28999999999999998</v>
      </c>
      <c r="L271" t="s">
        <v>18</v>
      </c>
      <c r="M271" t="s">
        <v>22</v>
      </c>
      <c r="N271" t="s">
        <v>45</v>
      </c>
      <c r="O271" t="str">
        <f t="shared" si="12"/>
        <v>October</v>
      </c>
      <c r="P271">
        <f t="shared" si="13"/>
        <v>10</v>
      </c>
      <c r="Q271">
        <f t="shared" si="14"/>
        <v>2023</v>
      </c>
    </row>
    <row r="272" spans="1:17" x14ac:dyDescent="0.25">
      <c r="A272">
        <v>1033</v>
      </c>
      <c r="B272" s="1">
        <v>44989</v>
      </c>
      <c r="C272" t="s">
        <v>14</v>
      </c>
      <c r="D272" t="s">
        <v>21</v>
      </c>
      <c r="E272" s="4">
        <v>8499.41</v>
      </c>
      <c r="F272" s="2">
        <v>14</v>
      </c>
      <c r="G272" t="s">
        <v>29</v>
      </c>
      <c r="H272">
        <v>362.38</v>
      </c>
      <c r="I272">
        <v>753.81</v>
      </c>
      <c r="J272" t="s">
        <v>17</v>
      </c>
      <c r="K272" s="5">
        <v>0.19</v>
      </c>
      <c r="L272" t="s">
        <v>18</v>
      </c>
      <c r="M272" t="s">
        <v>22</v>
      </c>
      <c r="N272" t="s">
        <v>23</v>
      </c>
      <c r="O272" t="str">
        <f t="shared" si="12"/>
        <v>March</v>
      </c>
      <c r="P272">
        <f t="shared" si="13"/>
        <v>3</v>
      </c>
      <c r="Q272">
        <f t="shared" si="14"/>
        <v>2023</v>
      </c>
    </row>
    <row r="273" spans="1:17" x14ac:dyDescent="0.25">
      <c r="A273">
        <v>1040</v>
      </c>
      <c r="B273" s="1">
        <v>45076</v>
      </c>
      <c r="C273" t="s">
        <v>42</v>
      </c>
      <c r="D273" t="s">
        <v>25</v>
      </c>
      <c r="E273" s="4">
        <v>4284.03</v>
      </c>
      <c r="F273" s="2">
        <v>47</v>
      </c>
      <c r="G273" t="s">
        <v>29</v>
      </c>
      <c r="H273">
        <v>1656.82</v>
      </c>
      <c r="I273">
        <v>1750.3799999999901</v>
      </c>
      <c r="J273" t="s">
        <v>30</v>
      </c>
      <c r="K273" s="5">
        <v>0.21</v>
      </c>
      <c r="L273" t="s">
        <v>31</v>
      </c>
      <c r="M273" t="s">
        <v>19</v>
      </c>
      <c r="N273" t="s">
        <v>43</v>
      </c>
      <c r="O273" t="str">
        <f t="shared" si="12"/>
        <v>May</v>
      </c>
      <c r="P273">
        <f t="shared" si="13"/>
        <v>5</v>
      </c>
      <c r="Q273">
        <f t="shared" si="14"/>
        <v>2023</v>
      </c>
    </row>
    <row r="274" spans="1:17" x14ac:dyDescent="0.25">
      <c r="A274">
        <v>1039</v>
      </c>
      <c r="B274" s="1">
        <v>45080</v>
      </c>
      <c r="C274" t="s">
        <v>14</v>
      </c>
      <c r="D274" t="s">
        <v>25</v>
      </c>
      <c r="E274" s="4">
        <v>3099.02</v>
      </c>
      <c r="F274" s="2">
        <v>8</v>
      </c>
      <c r="G274" t="s">
        <v>29</v>
      </c>
      <c r="H274">
        <v>3380.14</v>
      </c>
      <c r="I274">
        <v>3609.3399999999901</v>
      </c>
      <c r="J274" t="s">
        <v>17</v>
      </c>
      <c r="K274" s="5">
        <v>0.09</v>
      </c>
      <c r="L274" t="s">
        <v>31</v>
      </c>
      <c r="M274" t="s">
        <v>19</v>
      </c>
      <c r="N274" t="s">
        <v>32</v>
      </c>
      <c r="O274" t="str">
        <f t="shared" si="12"/>
        <v>June</v>
      </c>
      <c r="P274">
        <f t="shared" si="13"/>
        <v>6</v>
      </c>
      <c r="Q274">
        <f t="shared" si="14"/>
        <v>2023</v>
      </c>
    </row>
    <row r="275" spans="1:17" x14ac:dyDescent="0.25">
      <c r="A275">
        <v>1082</v>
      </c>
      <c r="B275" s="1">
        <v>45082</v>
      </c>
      <c r="C275" t="s">
        <v>33</v>
      </c>
      <c r="D275" t="s">
        <v>34</v>
      </c>
      <c r="E275" s="4">
        <v>3320.42</v>
      </c>
      <c r="F275" s="2">
        <v>15</v>
      </c>
      <c r="G275" t="s">
        <v>29</v>
      </c>
      <c r="H275">
        <v>1719.47</v>
      </c>
      <c r="I275">
        <v>1832.6</v>
      </c>
      <c r="J275" t="s">
        <v>17</v>
      </c>
      <c r="K275" s="5">
        <v>0.12</v>
      </c>
      <c r="L275" t="s">
        <v>31</v>
      </c>
      <c r="M275" t="s">
        <v>19</v>
      </c>
      <c r="N275" t="s">
        <v>36</v>
      </c>
      <c r="O275" t="str">
        <f t="shared" si="12"/>
        <v>June</v>
      </c>
      <c r="P275">
        <f t="shared" si="13"/>
        <v>6</v>
      </c>
      <c r="Q275">
        <f t="shared" si="14"/>
        <v>2023</v>
      </c>
    </row>
    <row r="276" spans="1:17" x14ac:dyDescent="0.25">
      <c r="A276">
        <v>1001</v>
      </c>
      <c r="B276" s="1">
        <v>44975</v>
      </c>
      <c r="C276" t="s">
        <v>24</v>
      </c>
      <c r="D276" t="s">
        <v>21</v>
      </c>
      <c r="E276" s="4">
        <v>7154.95</v>
      </c>
      <c r="F276" s="2">
        <v>27</v>
      </c>
      <c r="G276" t="s">
        <v>29</v>
      </c>
      <c r="H276">
        <v>939.02</v>
      </c>
      <c r="I276">
        <v>1286.92</v>
      </c>
      <c r="J276" t="s">
        <v>17</v>
      </c>
      <c r="K276" s="5">
        <v>7.0000000000000007E-2</v>
      </c>
      <c r="L276" t="s">
        <v>31</v>
      </c>
      <c r="M276" t="s">
        <v>22</v>
      </c>
      <c r="N276" t="s">
        <v>47</v>
      </c>
      <c r="O276" t="str">
        <f t="shared" si="12"/>
        <v>February</v>
      </c>
      <c r="P276">
        <f t="shared" si="13"/>
        <v>2</v>
      </c>
      <c r="Q276">
        <f t="shared" si="14"/>
        <v>2023</v>
      </c>
    </row>
    <row r="277" spans="1:17" x14ac:dyDescent="0.25">
      <c r="A277">
        <v>1011</v>
      </c>
      <c r="B277" s="1">
        <v>45263</v>
      </c>
      <c r="C277" t="s">
        <v>14</v>
      </c>
      <c r="D277" t="s">
        <v>34</v>
      </c>
      <c r="E277" s="4">
        <v>8186.12</v>
      </c>
      <c r="F277" s="2">
        <v>13</v>
      </c>
      <c r="G277" t="s">
        <v>35</v>
      </c>
      <c r="H277">
        <v>1442.69</v>
      </c>
      <c r="I277">
        <v>1882.57</v>
      </c>
      <c r="J277" t="s">
        <v>17</v>
      </c>
      <c r="K277" s="5">
        <v>0.28000000000000003</v>
      </c>
      <c r="L277" t="s">
        <v>18</v>
      </c>
      <c r="M277" t="s">
        <v>19</v>
      </c>
      <c r="N277" t="s">
        <v>46</v>
      </c>
      <c r="O277" t="str">
        <f t="shared" si="12"/>
        <v>December</v>
      </c>
      <c r="P277">
        <f t="shared" si="13"/>
        <v>12</v>
      </c>
      <c r="Q277">
        <f t="shared" si="14"/>
        <v>2023</v>
      </c>
    </row>
    <row r="278" spans="1:17" x14ac:dyDescent="0.25">
      <c r="A278">
        <v>1092</v>
      </c>
      <c r="B278" s="1">
        <v>45010</v>
      </c>
      <c r="C278" t="s">
        <v>42</v>
      </c>
      <c r="D278" t="s">
        <v>21</v>
      </c>
      <c r="E278" s="4">
        <v>1897.98</v>
      </c>
      <c r="F278" s="2">
        <v>49</v>
      </c>
      <c r="G278" t="s">
        <v>16</v>
      </c>
      <c r="H278">
        <v>2315</v>
      </c>
      <c r="I278">
        <v>2467.2800000000002</v>
      </c>
      <c r="J278" t="s">
        <v>30</v>
      </c>
      <c r="K278" s="5">
        <v>0.15</v>
      </c>
      <c r="L278" t="s">
        <v>27</v>
      </c>
      <c r="M278" t="s">
        <v>22</v>
      </c>
      <c r="N278" t="s">
        <v>51</v>
      </c>
      <c r="O278" t="str">
        <f t="shared" si="12"/>
        <v>March</v>
      </c>
      <c r="P278">
        <f t="shared" si="13"/>
        <v>3</v>
      </c>
      <c r="Q278">
        <f t="shared" si="14"/>
        <v>2023</v>
      </c>
    </row>
    <row r="279" spans="1:17" x14ac:dyDescent="0.25">
      <c r="A279">
        <v>1057</v>
      </c>
      <c r="B279" s="1">
        <v>45287</v>
      </c>
      <c r="C279" t="s">
        <v>14</v>
      </c>
      <c r="D279" t="s">
        <v>25</v>
      </c>
      <c r="E279" s="4">
        <v>3772.32</v>
      </c>
      <c r="F279" s="2">
        <v>31</v>
      </c>
      <c r="G279" t="s">
        <v>16</v>
      </c>
      <c r="H279">
        <v>2403.16</v>
      </c>
      <c r="I279">
        <v>2453.35</v>
      </c>
      <c r="J279" t="s">
        <v>17</v>
      </c>
      <c r="K279" s="5">
        <v>0.19</v>
      </c>
      <c r="L279" t="s">
        <v>31</v>
      </c>
      <c r="M279" t="s">
        <v>19</v>
      </c>
      <c r="N279" t="s">
        <v>32</v>
      </c>
      <c r="O279" t="str">
        <f t="shared" si="12"/>
        <v>December</v>
      </c>
      <c r="P279">
        <f t="shared" si="13"/>
        <v>12</v>
      </c>
      <c r="Q279">
        <f t="shared" si="14"/>
        <v>2023</v>
      </c>
    </row>
    <row r="280" spans="1:17" x14ac:dyDescent="0.25">
      <c r="A280">
        <v>1089</v>
      </c>
      <c r="B280" s="1">
        <v>45103</v>
      </c>
      <c r="C280" t="s">
        <v>38</v>
      </c>
      <c r="D280" t="s">
        <v>15</v>
      </c>
      <c r="E280" s="4">
        <v>9029.2099999999991</v>
      </c>
      <c r="F280" s="2">
        <v>35</v>
      </c>
      <c r="G280" t="s">
        <v>16</v>
      </c>
      <c r="H280">
        <v>3925.85</v>
      </c>
      <c r="I280">
        <v>4082.1099999999901</v>
      </c>
      <c r="J280" t="s">
        <v>30</v>
      </c>
      <c r="K280" s="5">
        <v>0.22</v>
      </c>
      <c r="L280" t="s">
        <v>18</v>
      </c>
      <c r="M280" t="s">
        <v>19</v>
      </c>
      <c r="N280" t="s">
        <v>40</v>
      </c>
      <c r="O280" t="str">
        <f t="shared" si="12"/>
        <v>June</v>
      </c>
      <c r="P280">
        <f t="shared" si="13"/>
        <v>6</v>
      </c>
      <c r="Q280">
        <f t="shared" si="14"/>
        <v>2023</v>
      </c>
    </row>
    <row r="281" spans="1:17" x14ac:dyDescent="0.25">
      <c r="A281">
        <v>1050</v>
      </c>
      <c r="B281" s="1">
        <v>45074</v>
      </c>
      <c r="C281" t="s">
        <v>42</v>
      </c>
      <c r="D281" t="s">
        <v>15</v>
      </c>
      <c r="E281" s="4">
        <v>8086.27</v>
      </c>
      <c r="F281" s="2">
        <v>6</v>
      </c>
      <c r="G281" t="s">
        <v>16</v>
      </c>
      <c r="H281">
        <v>3763.26</v>
      </c>
      <c r="I281">
        <v>4102.72</v>
      </c>
      <c r="J281" t="s">
        <v>30</v>
      </c>
      <c r="K281" s="5">
        <v>0.11</v>
      </c>
      <c r="L281" t="s">
        <v>31</v>
      </c>
      <c r="M281" t="s">
        <v>22</v>
      </c>
      <c r="N281" t="s">
        <v>49</v>
      </c>
      <c r="O281" t="str">
        <f t="shared" si="12"/>
        <v>May</v>
      </c>
      <c r="P281">
        <f t="shared" si="13"/>
        <v>5</v>
      </c>
      <c r="Q281">
        <f t="shared" si="14"/>
        <v>2023</v>
      </c>
    </row>
    <row r="282" spans="1:17" x14ac:dyDescent="0.25">
      <c r="A282">
        <v>1023</v>
      </c>
      <c r="B282" s="1">
        <v>45044</v>
      </c>
      <c r="C282" t="s">
        <v>33</v>
      </c>
      <c r="D282" t="s">
        <v>15</v>
      </c>
      <c r="E282" s="4">
        <v>9850.1</v>
      </c>
      <c r="F282" s="2">
        <v>5</v>
      </c>
      <c r="G282" t="s">
        <v>35</v>
      </c>
      <c r="H282">
        <v>2311.25</v>
      </c>
      <c r="I282">
        <v>2482.34</v>
      </c>
      <c r="J282" t="s">
        <v>17</v>
      </c>
      <c r="K282" s="5">
        <v>0.22</v>
      </c>
      <c r="L282" t="s">
        <v>31</v>
      </c>
      <c r="M282" t="s">
        <v>22</v>
      </c>
      <c r="N282" t="s">
        <v>53</v>
      </c>
      <c r="O282" t="str">
        <f t="shared" si="12"/>
        <v>April</v>
      </c>
      <c r="P282">
        <f t="shared" si="13"/>
        <v>4</v>
      </c>
      <c r="Q282">
        <f t="shared" si="14"/>
        <v>2023</v>
      </c>
    </row>
    <row r="283" spans="1:17" x14ac:dyDescent="0.25">
      <c r="A283">
        <v>1031</v>
      </c>
      <c r="B283" s="1">
        <v>45268</v>
      </c>
      <c r="C283" t="s">
        <v>24</v>
      </c>
      <c r="D283" t="s">
        <v>15</v>
      </c>
      <c r="E283" s="4">
        <v>7567.06</v>
      </c>
      <c r="F283" s="2">
        <v>22</v>
      </c>
      <c r="G283" t="s">
        <v>26</v>
      </c>
      <c r="H283">
        <v>4236.05</v>
      </c>
      <c r="I283">
        <v>4382.32</v>
      </c>
      <c r="J283" t="s">
        <v>30</v>
      </c>
      <c r="K283" s="5">
        <v>0.2</v>
      </c>
      <c r="L283" t="s">
        <v>27</v>
      </c>
      <c r="M283" t="s">
        <v>19</v>
      </c>
      <c r="N283" t="s">
        <v>45</v>
      </c>
      <c r="O283" t="str">
        <f t="shared" si="12"/>
        <v>December</v>
      </c>
      <c r="P283">
        <f t="shared" si="13"/>
        <v>12</v>
      </c>
      <c r="Q283">
        <f t="shared" si="14"/>
        <v>2023</v>
      </c>
    </row>
    <row r="284" spans="1:17" x14ac:dyDescent="0.25">
      <c r="A284">
        <v>1094</v>
      </c>
      <c r="B284" s="1">
        <v>44989</v>
      </c>
      <c r="C284" t="s">
        <v>14</v>
      </c>
      <c r="D284" t="s">
        <v>15</v>
      </c>
      <c r="E284" s="4">
        <v>3992.63</v>
      </c>
      <c r="F284" s="2">
        <v>49</v>
      </c>
      <c r="G284" t="s">
        <v>26</v>
      </c>
      <c r="H284">
        <v>615.47</v>
      </c>
      <c r="I284">
        <v>715.84</v>
      </c>
      <c r="J284" t="s">
        <v>17</v>
      </c>
      <c r="K284" s="5">
        <v>0.21</v>
      </c>
      <c r="L284" t="s">
        <v>31</v>
      </c>
      <c r="M284" t="s">
        <v>22</v>
      </c>
      <c r="N284" t="s">
        <v>20</v>
      </c>
      <c r="O284" t="str">
        <f t="shared" si="12"/>
        <v>March</v>
      </c>
      <c r="P284">
        <f t="shared" si="13"/>
        <v>3</v>
      </c>
      <c r="Q284">
        <f t="shared" si="14"/>
        <v>2023</v>
      </c>
    </row>
    <row r="285" spans="1:17" x14ac:dyDescent="0.25">
      <c r="A285">
        <v>1042</v>
      </c>
      <c r="B285" s="1">
        <v>45115</v>
      </c>
      <c r="C285" t="s">
        <v>42</v>
      </c>
      <c r="D285" t="s">
        <v>34</v>
      </c>
      <c r="E285" s="4">
        <v>5947.31</v>
      </c>
      <c r="F285" s="2">
        <v>23</v>
      </c>
      <c r="G285" t="s">
        <v>35</v>
      </c>
      <c r="H285">
        <v>1314</v>
      </c>
      <c r="I285">
        <v>1567.78</v>
      </c>
      <c r="J285" t="s">
        <v>17</v>
      </c>
      <c r="K285" s="5">
        <v>0.15</v>
      </c>
      <c r="L285" t="s">
        <v>31</v>
      </c>
      <c r="M285" t="s">
        <v>22</v>
      </c>
      <c r="N285" t="s">
        <v>52</v>
      </c>
      <c r="O285" t="str">
        <f t="shared" si="12"/>
        <v>July</v>
      </c>
      <c r="P285">
        <f t="shared" si="13"/>
        <v>7</v>
      </c>
      <c r="Q285">
        <f t="shared" si="14"/>
        <v>2023</v>
      </c>
    </row>
    <row r="286" spans="1:17" x14ac:dyDescent="0.25">
      <c r="A286">
        <v>1099</v>
      </c>
      <c r="B286" s="1">
        <v>45286</v>
      </c>
      <c r="C286" t="s">
        <v>38</v>
      </c>
      <c r="D286" t="s">
        <v>21</v>
      </c>
      <c r="E286" s="4">
        <v>6644.04</v>
      </c>
      <c r="F286" s="2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 s="5">
        <v>0.11</v>
      </c>
      <c r="L286" t="s">
        <v>27</v>
      </c>
      <c r="M286" t="s">
        <v>19</v>
      </c>
      <c r="N286" t="s">
        <v>41</v>
      </c>
      <c r="O286" t="str">
        <f t="shared" si="12"/>
        <v>December</v>
      </c>
      <c r="P286">
        <f t="shared" si="13"/>
        <v>12</v>
      </c>
      <c r="Q286">
        <f t="shared" si="14"/>
        <v>2023</v>
      </c>
    </row>
    <row r="287" spans="1:17" x14ac:dyDescent="0.25">
      <c r="A287">
        <v>1007</v>
      </c>
      <c r="B287" s="1">
        <v>44975</v>
      </c>
      <c r="C287" t="s">
        <v>42</v>
      </c>
      <c r="D287" t="s">
        <v>25</v>
      </c>
      <c r="E287" s="4">
        <v>876.71</v>
      </c>
      <c r="F287" s="2">
        <v>34</v>
      </c>
      <c r="G287" t="s">
        <v>29</v>
      </c>
      <c r="H287">
        <v>1921.07</v>
      </c>
      <c r="I287">
        <v>2289.27</v>
      </c>
      <c r="J287" t="s">
        <v>17</v>
      </c>
      <c r="K287" s="5">
        <v>7.0000000000000007E-2</v>
      </c>
      <c r="L287" t="s">
        <v>27</v>
      </c>
      <c r="M287" t="s">
        <v>22</v>
      </c>
      <c r="N287" t="s">
        <v>43</v>
      </c>
      <c r="O287" t="str">
        <f t="shared" si="12"/>
        <v>February</v>
      </c>
      <c r="P287">
        <f t="shared" si="13"/>
        <v>2</v>
      </c>
      <c r="Q287">
        <f t="shared" si="14"/>
        <v>2023</v>
      </c>
    </row>
    <row r="288" spans="1:17" x14ac:dyDescent="0.25">
      <c r="A288">
        <v>1016</v>
      </c>
      <c r="B288" s="1">
        <v>45253</v>
      </c>
      <c r="C288" t="s">
        <v>38</v>
      </c>
      <c r="D288" t="s">
        <v>34</v>
      </c>
      <c r="E288" s="4">
        <v>5490.52</v>
      </c>
      <c r="F288" s="2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 s="5">
        <v>0.25</v>
      </c>
      <c r="L288" t="s">
        <v>27</v>
      </c>
      <c r="M288" t="s">
        <v>19</v>
      </c>
      <c r="N288" t="s">
        <v>48</v>
      </c>
      <c r="O288" t="str">
        <f t="shared" si="12"/>
        <v>November</v>
      </c>
      <c r="P288">
        <f t="shared" si="13"/>
        <v>11</v>
      </c>
      <c r="Q288">
        <f t="shared" si="14"/>
        <v>2023</v>
      </c>
    </row>
    <row r="289" spans="1:17" x14ac:dyDescent="0.25">
      <c r="A289">
        <v>1090</v>
      </c>
      <c r="B289" s="1">
        <v>45183</v>
      </c>
      <c r="C289" t="s">
        <v>33</v>
      </c>
      <c r="D289" t="s">
        <v>21</v>
      </c>
      <c r="E289" s="4">
        <v>7122.28</v>
      </c>
      <c r="F289" s="2">
        <v>47</v>
      </c>
      <c r="G289" t="s">
        <v>29</v>
      </c>
      <c r="H289">
        <v>2357.9499999999998</v>
      </c>
      <c r="I289">
        <v>2693.33</v>
      </c>
      <c r="J289" t="s">
        <v>30</v>
      </c>
      <c r="K289" s="5">
        <v>0.18</v>
      </c>
      <c r="L289" t="s">
        <v>27</v>
      </c>
      <c r="M289" t="s">
        <v>19</v>
      </c>
      <c r="N289" t="s">
        <v>37</v>
      </c>
      <c r="O289" t="str">
        <f t="shared" si="12"/>
        <v>September</v>
      </c>
      <c r="P289">
        <f t="shared" si="13"/>
        <v>9</v>
      </c>
      <c r="Q289">
        <f t="shared" si="14"/>
        <v>2023</v>
      </c>
    </row>
    <row r="290" spans="1:17" x14ac:dyDescent="0.25">
      <c r="A290">
        <v>1060</v>
      </c>
      <c r="B290" s="1">
        <v>45150</v>
      </c>
      <c r="C290" t="s">
        <v>24</v>
      </c>
      <c r="D290" t="s">
        <v>15</v>
      </c>
      <c r="E290" s="4">
        <v>1756.48</v>
      </c>
      <c r="F290" s="2">
        <v>5</v>
      </c>
      <c r="G290" t="s">
        <v>16</v>
      </c>
      <c r="H290">
        <v>3970.08</v>
      </c>
      <c r="I290">
        <v>4096.4799999999996</v>
      </c>
      <c r="J290" t="s">
        <v>17</v>
      </c>
      <c r="K290" s="5">
        <v>0.13</v>
      </c>
      <c r="L290" t="s">
        <v>18</v>
      </c>
      <c r="M290" t="s">
        <v>22</v>
      </c>
      <c r="N290" t="s">
        <v>45</v>
      </c>
      <c r="O290" t="str">
        <f t="shared" si="12"/>
        <v>August</v>
      </c>
      <c r="P290">
        <f t="shared" si="13"/>
        <v>8</v>
      </c>
      <c r="Q290">
        <f t="shared" si="14"/>
        <v>2023</v>
      </c>
    </row>
    <row r="291" spans="1:17" x14ac:dyDescent="0.25">
      <c r="A291">
        <v>1002</v>
      </c>
      <c r="B291" s="1">
        <v>45067</v>
      </c>
      <c r="C291" t="s">
        <v>33</v>
      </c>
      <c r="D291" t="s">
        <v>21</v>
      </c>
      <c r="E291" s="4">
        <v>7828.25</v>
      </c>
      <c r="F291" s="2">
        <v>26</v>
      </c>
      <c r="G291" t="s">
        <v>29</v>
      </c>
      <c r="H291">
        <v>2041.42</v>
      </c>
      <c r="I291">
        <v>2291.17</v>
      </c>
      <c r="J291" t="s">
        <v>17</v>
      </c>
      <c r="K291" s="5">
        <v>0.28000000000000003</v>
      </c>
      <c r="L291" t="s">
        <v>18</v>
      </c>
      <c r="M291" t="s">
        <v>19</v>
      </c>
      <c r="N291" t="s">
        <v>37</v>
      </c>
      <c r="O291" t="str">
        <f t="shared" si="12"/>
        <v>May</v>
      </c>
      <c r="P291">
        <f t="shared" si="13"/>
        <v>5</v>
      </c>
      <c r="Q291">
        <f t="shared" si="14"/>
        <v>2023</v>
      </c>
    </row>
    <row r="292" spans="1:17" x14ac:dyDescent="0.25">
      <c r="A292">
        <v>1001</v>
      </c>
      <c r="B292" s="1">
        <v>45141</v>
      </c>
      <c r="C292" t="s">
        <v>14</v>
      </c>
      <c r="D292" t="s">
        <v>21</v>
      </c>
      <c r="E292" s="4">
        <v>5879.35</v>
      </c>
      <c r="F292" s="2">
        <v>20</v>
      </c>
      <c r="G292" t="s">
        <v>26</v>
      </c>
      <c r="H292">
        <v>2153.52</v>
      </c>
      <c r="I292">
        <v>2303.6999999999998</v>
      </c>
      <c r="J292" t="s">
        <v>17</v>
      </c>
      <c r="K292" s="5">
        <v>0.01</v>
      </c>
      <c r="L292" t="s">
        <v>18</v>
      </c>
      <c r="M292" t="s">
        <v>22</v>
      </c>
      <c r="N292" t="s">
        <v>23</v>
      </c>
      <c r="O292" t="str">
        <f t="shared" si="12"/>
        <v>August</v>
      </c>
      <c r="P292">
        <f t="shared" si="13"/>
        <v>8</v>
      </c>
      <c r="Q292">
        <f t="shared" si="14"/>
        <v>2023</v>
      </c>
    </row>
    <row r="293" spans="1:17" x14ac:dyDescent="0.25">
      <c r="A293">
        <v>1048</v>
      </c>
      <c r="B293" s="1">
        <v>45137</v>
      </c>
      <c r="C293" t="s">
        <v>42</v>
      </c>
      <c r="D293" t="s">
        <v>15</v>
      </c>
      <c r="E293" s="4">
        <v>9527</v>
      </c>
      <c r="F293" s="2">
        <v>6</v>
      </c>
      <c r="G293" t="s">
        <v>16</v>
      </c>
      <c r="H293">
        <v>1945.27</v>
      </c>
      <c r="I293">
        <v>2309.4299999999998</v>
      </c>
      <c r="J293" t="s">
        <v>30</v>
      </c>
      <c r="K293" s="5">
        <v>0.26</v>
      </c>
      <c r="L293" t="s">
        <v>31</v>
      </c>
      <c r="M293" t="s">
        <v>19</v>
      </c>
      <c r="N293" t="s">
        <v>49</v>
      </c>
      <c r="O293" t="str">
        <f t="shared" si="12"/>
        <v>July</v>
      </c>
      <c r="P293">
        <f t="shared" si="13"/>
        <v>7</v>
      </c>
      <c r="Q293">
        <f t="shared" si="14"/>
        <v>2023</v>
      </c>
    </row>
    <row r="294" spans="1:17" x14ac:dyDescent="0.25">
      <c r="A294">
        <v>1012</v>
      </c>
      <c r="B294" s="1">
        <v>45244</v>
      </c>
      <c r="C294" t="s">
        <v>38</v>
      </c>
      <c r="D294" t="s">
        <v>15</v>
      </c>
      <c r="E294" s="4">
        <v>519.98</v>
      </c>
      <c r="F294" s="2">
        <v>6</v>
      </c>
      <c r="G294" t="s">
        <v>29</v>
      </c>
      <c r="H294">
        <v>3609.42</v>
      </c>
      <c r="I294">
        <v>4082.62</v>
      </c>
      <c r="J294" t="s">
        <v>17</v>
      </c>
      <c r="K294" s="5">
        <v>0.3</v>
      </c>
      <c r="L294" t="s">
        <v>27</v>
      </c>
      <c r="M294" t="s">
        <v>22</v>
      </c>
      <c r="N294" t="s">
        <v>40</v>
      </c>
      <c r="O294" t="str">
        <f t="shared" si="12"/>
        <v>November</v>
      </c>
      <c r="P294">
        <f t="shared" si="13"/>
        <v>11</v>
      </c>
      <c r="Q294">
        <f t="shared" si="14"/>
        <v>2023</v>
      </c>
    </row>
    <row r="295" spans="1:17" x14ac:dyDescent="0.25">
      <c r="A295">
        <v>1069</v>
      </c>
      <c r="B295" s="1">
        <v>44958</v>
      </c>
      <c r="C295" t="s">
        <v>38</v>
      </c>
      <c r="D295" t="s">
        <v>15</v>
      </c>
      <c r="E295" s="4">
        <v>2726.73</v>
      </c>
      <c r="F295" s="2">
        <v>18</v>
      </c>
      <c r="G295" t="s">
        <v>16</v>
      </c>
      <c r="H295">
        <v>2760.21</v>
      </c>
      <c r="I295">
        <v>3219.58</v>
      </c>
      <c r="J295" t="s">
        <v>30</v>
      </c>
      <c r="K295" s="5">
        <v>0.27</v>
      </c>
      <c r="L295" t="s">
        <v>27</v>
      </c>
      <c r="M295" t="s">
        <v>22</v>
      </c>
      <c r="N295" t="s">
        <v>40</v>
      </c>
      <c r="O295" t="str">
        <f t="shared" si="12"/>
        <v>February</v>
      </c>
      <c r="P295">
        <f t="shared" si="13"/>
        <v>2</v>
      </c>
      <c r="Q295">
        <f t="shared" si="14"/>
        <v>2023</v>
      </c>
    </row>
    <row r="296" spans="1:17" x14ac:dyDescent="0.25">
      <c r="A296">
        <v>1037</v>
      </c>
      <c r="B296" s="1">
        <v>45084</v>
      </c>
      <c r="C296" t="s">
        <v>42</v>
      </c>
      <c r="D296" t="s">
        <v>25</v>
      </c>
      <c r="E296" s="4">
        <v>6055.38</v>
      </c>
      <c r="F296" s="2">
        <v>4</v>
      </c>
      <c r="G296" t="s">
        <v>26</v>
      </c>
      <c r="H296">
        <v>4721.7</v>
      </c>
      <c r="I296">
        <v>5017.58</v>
      </c>
      <c r="J296" t="s">
        <v>30</v>
      </c>
      <c r="K296" s="5">
        <v>0.24</v>
      </c>
      <c r="L296" t="s">
        <v>18</v>
      </c>
      <c r="M296" t="s">
        <v>22</v>
      </c>
      <c r="N296" t="s">
        <v>43</v>
      </c>
      <c r="O296" t="str">
        <f t="shared" si="12"/>
        <v>June</v>
      </c>
      <c r="P296">
        <f t="shared" si="13"/>
        <v>6</v>
      </c>
      <c r="Q296">
        <f t="shared" si="14"/>
        <v>2023</v>
      </c>
    </row>
    <row r="297" spans="1:17" x14ac:dyDescent="0.25">
      <c r="A297">
        <v>1032</v>
      </c>
      <c r="B297" s="1">
        <v>45211</v>
      </c>
      <c r="C297" t="s">
        <v>42</v>
      </c>
      <c r="D297" t="s">
        <v>15</v>
      </c>
      <c r="E297" s="4">
        <v>3035.94</v>
      </c>
      <c r="F297" s="2">
        <v>17</v>
      </c>
      <c r="G297" t="s">
        <v>29</v>
      </c>
      <c r="H297">
        <v>1291.9100000000001</v>
      </c>
      <c r="I297">
        <v>1528.59</v>
      </c>
      <c r="J297" t="s">
        <v>17</v>
      </c>
      <c r="K297" s="5">
        <v>0.11</v>
      </c>
      <c r="L297" t="s">
        <v>31</v>
      </c>
      <c r="M297" t="s">
        <v>22</v>
      </c>
      <c r="N297" t="s">
        <v>49</v>
      </c>
      <c r="O297" t="str">
        <f t="shared" si="12"/>
        <v>October</v>
      </c>
      <c r="P297">
        <f t="shared" si="13"/>
        <v>10</v>
      </c>
      <c r="Q297">
        <f t="shared" si="14"/>
        <v>2023</v>
      </c>
    </row>
    <row r="298" spans="1:17" x14ac:dyDescent="0.25">
      <c r="A298">
        <v>1009</v>
      </c>
      <c r="B298" s="1">
        <v>45231</v>
      </c>
      <c r="C298" t="s">
        <v>14</v>
      </c>
      <c r="D298" t="s">
        <v>25</v>
      </c>
      <c r="E298" s="4">
        <v>7172.8</v>
      </c>
      <c r="F298" s="2">
        <v>14</v>
      </c>
      <c r="G298" t="s">
        <v>26</v>
      </c>
      <c r="H298">
        <v>547.79</v>
      </c>
      <c r="I298">
        <v>958.76</v>
      </c>
      <c r="J298" t="s">
        <v>17</v>
      </c>
      <c r="K298" s="5">
        <v>7.0000000000000007E-2</v>
      </c>
      <c r="L298" t="s">
        <v>31</v>
      </c>
      <c r="M298" t="s">
        <v>22</v>
      </c>
      <c r="N298" t="s">
        <v>32</v>
      </c>
      <c r="O298" t="str">
        <f t="shared" si="12"/>
        <v>November</v>
      </c>
      <c r="P298">
        <f t="shared" si="13"/>
        <v>11</v>
      </c>
      <c r="Q298">
        <f t="shared" si="14"/>
        <v>2023</v>
      </c>
    </row>
    <row r="299" spans="1:17" x14ac:dyDescent="0.25">
      <c r="A299">
        <v>1099</v>
      </c>
      <c r="B299" s="1">
        <v>45212</v>
      </c>
      <c r="C299" t="s">
        <v>33</v>
      </c>
      <c r="D299" t="s">
        <v>15</v>
      </c>
      <c r="E299" s="4">
        <v>7614.15</v>
      </c>
      <c r="F299" s="2">
        <v>14</v>
      </c>
      <c r="G299" t="s">
        <v>26</v>
      </c>
      <c r="H299">
        <v>1996.64</v>
      </c>
      <c r="I299">
        <v>2341.4699999999998</v>
      </c>
      <c r="J299" t="s">
        <v>17</v>
      </c>
      <c r="K299" s="5">
        <v>0.22</v>
      </c>
      <c r="L299" t="s">
        <v>31</v>
      </c>
      <c r="M299" t="s">
        <v>19</v>
      </c>
      <c r="N299" t="s">
        <v>53</v>
      </c>
      <c r="O299" t="str">
        <f t="shared" si="12"/>
        <v>October</v>
      </c>
      <c r="P299">
        <f t="shared" si="13"/>
        <v>10</v>
      </c>
      <c r="Q299">
        <f t="shared" si="14"/>
        <v>2023</v>
      </c>
    </row>
    <row r="300" spans="1:17" x14ac:dyDescent="0.25">
      <c r="A300">
        <v>1019</v>
      </c>
      <c r="B300" s="1">
        <v>45070</v>
      </c>
      <c r="C300" t="s">
        <v>38</v>
      </c>
      <c r="D300" t="s">
        <v>25</v>
      </c>
      <c r="E300" s="4">
        <v>1114.9100000000001</v>
      </c>
      <c r="F300" s="2">
        <v>13</v>
      </c>
      <c r="G300" t="s">
        <v>26</v>
      </c>
      <c r="H300">
        <v>3102.73</v>
      </c>
      <c r="I300">
        <v>3202.68</v>
      </c>
      <c r="J300" t="s">
        <v>30</v>
      </c>
      <c r="K300" s="5">
        <v>0.09</v>
      </c>
      <c r="L300" t="s">
        <v>18</v>
      </c>
      <c r="M300" t="s">
        <v>19</v>
      </c>
      <c r="N300" t="s">
        <v>39</v>
      </c>
      <c r="O300" t="str">
        <f t="shared" si="12"/>
        <v>May</v>
      </c>
      <c r="P300">
        <f t="shared" si="13"/>
        <v>5</v>
      </c>
      <c r="Q300">
        <f t="shared" si="14"/>
        <v>2023</v>
      </c>
    </row>
    <row r="301" spans="1:17" x14ac:dyDescent="0.25">
      <c r="A301">
        <v>1048</v>
      </c>
      <c r="B301" s="1">
        <v>44945</v>
      </c>
      <c r="C301" t="s">
        <v>14</v>
      </c>
      <c r="D301" t="s">
        <v>21</v>
      </c>
      <c r="E301" s="4">
        <v>5187.16</v>
      </c>
      <c r="F301" s="2">
        <v>7</v>
      </c>
      <c r="G301" t="s">
        <v>29</v>
      </c>
      <c r="H301">
        <v>4310.95</v>
      </c>
      <c r="I301">
        <v>4723.2</v>
      </c>
      <c r="J301" t="s">
        <v>17</v>
      </c>
      <c r="K301" s="5">
        <v>0.05</v>
      </c>
      <c r="L301" t="s">
        <v>31</v>
      </c>
      <c r="M301" t="s">
        <v>22</v>
      </c>
      <c r="N301" t="s">
        <v>23</v>
      </c>
      <c r="O301" t="str">
        <f t="shared" si="12"/>
        <v>January</v>
      </c>
      <c r="P301">
        <f t="shared" si="13"/>
        <v>1</v>
      </c>
      <c r="Q301">
        <f t="shared" si="14"/>
        <v>2023</v>
      </c>
    </row>
    <row r="302" spans="1:17" x14ac:dyDescent="0.25">
      <c r="A302">
        <v>1080</v>
      </c>
      <c r="B302" s="1">
        <v>44944</v>
      </c>
      <c r="C302" t="s">
        <v>33</v>
      </c>
      <c r="D302" t="s">
        <v>34</v>
      </c>
      <c r="E302" s="4">
        <v>5138.0200000000004</v>
      </c>
      <c r="F302" s="2">
        <v>44</v>
      </c>
      <c r="G302" t="s">
        <v>35</v>
      </c>
      <c r="H302">
        <v>1763.67</v>
      </c>
      <c r="I302">
        <v>1983.82</v>
      </c>
      <c r="J302" t="s">
        <v>30</v>
      </c>
      <c r="K302" s="5">
        <v>0.24</v>
      </c>
      <c r="L302" t="s">
        <v>31</v>
      </c>
      <c r="M302" t="s">
        <v>19</v>
      </c>
      <c r="N302" t="s">
        <v>36</v>
      </c>
      <c r="O302" t="str">
        <f t="shared" si="12"/>
        <v>January</v>
      </c>
      <c r="P302">
        <f t="shared" si="13"/>
        <v>1</v>
      </c>
      <c r="Q302">
        <f t="shared" si="14"/>
        <v>2023</v>
      </c>
    </row>
    <row r="303" spans="1:17" x14ac:dyDescent="0.25">
      <c r="A303">
        <v>1003</v>
      </c>
      <c r="B303" s="1">
        <v>45183</v>
      </c>
      <c r="C303" t="s">
        <v>14</v>
      </c>
      <c r="D303" t="s">
        <v>21</v>
      </c>
      <c r="E303" s="4">
        <v>3755.88</v>
      </c>
      <c r="F303" s="2">
        <v>15</v>
      </c>
      <c r="G303" t="s">
        <v>29</v>
      </c>
      <c r="H303">
        <v>3286.24</v>
      </c>
      <c r="I303">
        <v>3388.8399999999901</v>
      </c>
      <c r="J303" t="s">
        <v>17</v>
      </c>
      <c r="K303" s="5">
        <v>0.09</v>
      </c>
      <c r="L303" t="s">
        <v>31</v>
      </c>
      <c r="M303" t="s">
        <v>22</v>
      </c>
      <c r="N303" t="s">
        <v>23</v>
      </c>
      <c r="O303" t="str">
        <f t="shared" si="12"/>
        <v>September</v>
      </c>
      <c r="P303">
        <f t="shared" si="13"/>
        <v>9</v>
      </c>
      <c r="Q303">
        <f t="shared" si="14"/>
        <v>2023</v>
      </c>
    </row>
    <row r="304" spans="1:17" x14ac:dyDescent="0.25">
      <c r="A304">
        <v>1020</v>
      </c>
      <c r="B304" s="1">
        <v>45004</v>
      </c>
      <c r="C304" t="s">
        <v>38</v>
      </c>
      <c r="D304" t="s">
        <v>21</v>
      </c>
      <c r="E304" s="4">
        <v>9335.9599999999991</v>
      </c>
      <c r="F304" s="2">
        <v>19</v>
      </c>
      <c r="G304" t="s">
        <v>26</v>
      </c>
      <c r="H304">
        <v>1783.48</v>
      </c>
      <c r="I304">
        <v>1931.56</v>
      </c>
      <c r="J304" t="s">
        <v>17</v>
      </c>
      <c r="K304" s="5">
        <v>0.27</v>
      </c>
      <c r="L304" t="s">
        <v>27</v>
      </c>
      <c r="M304" t="s">
        <v>22</v>
      </c>
      <c r="N304" t="s">
        <v>41</v>
      </c>
      <c r="O304" t="str">
        <f t="shared" si="12"/>
        <v>March</v>
      </c>
      <c r="P304">
        <f t="shared" si="13"/>
        <v>3</v>
      </c>
      <c r="Q304">
        <f t="shared" si="14"/>
        <v>2023</v>
      </c>
    </row>
    <row r="305" spans="1:17" x14ac:dyDescent="0.25">
      <c r="A305">
        <v>1024</v>
      </c>
      <c r="B305" s="1">
        <v>45101</v>
      </c>
      <c r="C305" t="s">
        <v>42</v>
      </c>
      <c r="D305" t="s">
        <v>15</v>
      </c>
      <c r="E305" s="4">
        <v>8292.31</v>
      </c>
      <c r="F305" s="2">
        <v>43</v>
      </c>
      <c r="G305" t="s">
        <v>29</v>
      </c>
      <c r="H305">
        <v>3105.24</v>
      </c>
      <c r="I305">
        <v>3246.33</v>
      </c>
      <c r="J305" t="s">
        <v>30</v>
      </c>
      <c r="K305" s="5">
        <v>0.25</v>
      </c>
      <c r="L305" t="s">
        <v>18</v>
      </c>
      <c r="M305" t="s">
        <v>19</v>
      </c>
      <c r="N305" t="s">
        <v>49</v>
      </c>
      <c r="O305" t="str">
        <f t="shared" si="12"/>
        <v>June</v>
      </c>
      <c r="P305">
        <f t="shared" si="13"/>
        <v>6</v>
      </c>
      <c r="Q305">
        <f t="shared" si="14"/>
        <v>2023</v>
      </c>
    </row>
    <row r="306" spans="1:17" x14ac:dyDescent="0.25">
      <c r="A306">
        <v>1054</v>
      </c>
      <c r="B306" s="1">
        <v>45120</v>
      </c>
      <c r="C306" t="s">
        <v>42</v>
      </c>
      <c r="D306" t="s">
        <v>25</v>
      </c>
      <c r="E306" s="4">
        <v>7002.37</v>
      </c>
      <c r="F306" s="2">
        <v>47</v>
      </c>
      <c r="G306" t="s">
        <v>26</v>
      </c>
      <c r="H306">
        <v>4429.8</v>
      </c>
      <c r="I306">
        <v>4694.21</v>
      </c>
      <c r="J306" t="s">
        <v>30</v>
      </c>
      <c r="K306" s="5">
        <v>0.25</v>
      </c>
      <c r="L306" t="s">
        <v>27</v>
      </c>
      <c r="M306" t="s">
        <v>19</v>
      </c>
      <c r="N306" t="s">
        <v>43</v>
      </c>
      <c r="O306" t="str">
        <f t="shared" si="12"/>
        <v>July</v>
      </c>
      <c r="P306">
        <f t="shared" si="13"/>
        <v>7</v>
      </c>
      <c r="Q306">
        <f t="shared" si="14"/>
        <v>2023</v>
      </c>
    </row>
    <row r="307" spans="1:17" x14ac:dyDescent="0.25">
      <c r="A307">
        <v>1033</v>
      </c>
      <c r="B307" s="1">
        <v>45039</v>
      </c>
      <c r="C307" t="s">
        <v>33</v>
      </c>
      <c r="D307" t="s">
        <v>34</v>
      </c>
      <c r="E307" s="4">
        <v>7171.83</v>
      </c>
      <c r="F307" s="2">
        <v>44</v>
      </c>
      <c r="G307" t="s">
        <v>35</v>
      </c>
      <c r="H307">
        <v>1195.22</v>
      </c>
      <c r="I307">
        <v>1320.06</v>
      </c>
      <c r="J307" t="s">
        <v>17</v>
      </c>
      <c r="K307" s="5">
        <v>0.23</v>
      </c>
      <c r="L307" t="s">
        <v>27</v>
      </c>
      <c r="M307" t="s">
        <v>22</v>
      </c>
      <c r="N307" t="s">
        <v>36</v>
      </c>
      <c r="O307" t="str">
        <f t="shared" si="12"/>
        <v>April</v>
      </c>
      <c r="P307">
        <f t="shared" si="13"/>
        <v>4</v>
      </c>
      <c r="Q307">
        <f t="shared" si="14"/>
        <v>2023</v>
      </c>
    </row>
    <row r="308" spans="1:17" x14ac:dyDescent="0.25">
      <c r="A308">
        <v>1024</v>
      </c>
      <c r="B308" s="1">
        <v>45040</v>
      </c>
      <c r="C308" t="s">
        <v>24</v>
      </c>
      <c r="D308" t="s">
        <v>15</v>
      </c>
      <c r="E308" s="4">
        <v>4670.99</v>
      </c>
      <c r="F308" s="2">
        <v>35</v>
      </c>
      <c r="G308" t="s">
        <v>16</v>
      </c>
      <c r="H308">
        <v>2051</v>
      </c>
      <c r="I308">
        <v>2121.5500000000002</v>
      </c>
      <c r="J308" t="s">
        <v>17</v>
      </c>
      <c r="K308" s="5">
        <v>0.26</v>
      </c>
      <c r="L308" t="s">
        <v>18</v>
      </c>
      <c r="M308" t="s">
        <v>22</v>
      </c>
      <c r="N308" t="s">
        <v>45</v>
      </c>
      <c r="O308" t="str">
        <f t="shared" si="12"/>
        <v>April</v>
      </c>
      <c r="P308">
        <f t="shared" si="13"/>
        <v>4</v>
      </c>
      <c r="Q308">
        <f t="shared" si="14"/>
        <v>2023</v>
      </c>
    </row>
    <row r="309" spans="1:17" x14ac:dyDescent="0.25">
      <c r="A309">
        <v>1075</v>
      </c>
      <c r="B309" s="1">
        <v>45148</v>
      </c>
      <c r="C309" t="s">
        <v>33</v>
      </c>
      <c r="D309" t="s">
        <v>15</v>
      </c>
      <c r="E309" s="4">
        <v>9217.85</v>
      </c>
      <c r="F309" s="2">
        <v>17</v>
      </c>
      <c r="G309" t="s">
        <v>35</v>
      </c>
      <c r="H309">
        <v>4966.66</v>
      </c>
      <c r="I309">
        <v>5037.2699999999904</v>
      </c>
      <c r="J309" t="s">
        <v>17</v>
      </c>
      <c r="K309" s="5">
        <v>0.24</v>
      </c>
      <c r="L309" t="s">
        <v>27</v>
      </c>
      <c r="M309" t="s">
        <v>22</v>
      </c>
      <c r="N309" t="s">
        <v>53</v>
      </c>
      <c r="O309" t="str">
        <f t="shared" si="12"/>
        <v>August</v>
      </c>
      <c r="P309">
        <f t="shared" si="13"/>
        <v>8</v>
      </c>
      <c r="Q309">
        <f t="shared" si="14"/>
        <v>2023</v>
      </c>
    </row>
    <row r="310" spans="1:17" x14ac:dyDescent="0.25">
      <c r="A310">
        <v>1072</v>
      </c>
      <c r="B310" s="1">
        <v>45092</v>
      </c>
      <c r="C310" t="s">
        <v>24</v>
      </c>
      <c r="D310" t="s">
        <v>15</v>
      </c>
      <c r="E310" s="4">
        <v>6976.49</v>
      </c>
      <c r="F310" s="2">
        <v>35</v>
      </c>
      <c r="G310" t="s">
        <v>35</v>
      </c>
      <c r="H310">
        <v>4349.3599999999997</v>
      </c>
      <c r="I310">
        <v>4645.17</v>
      </c>
      <c r="J310" t="s">
        <v>17</v>
      </c>
      <c r="K310" s="5">
        <v>0.18</v>
      </c>
      <c r="L310" t="s">
        <v>31</v>
      </c>
      <c r="M310" t="s">
        <v>22</v>
      </c>
      <c r="N310" t="s">
        <v>45</v>
      </c>
      <c r="O310" t="str">
        <f t="shared" si="12"/>
        <v>June</v>
      </c>
      <c r="P310">
        <f t="shared" si="13"/>
        <v>6</v>
      </c>
      <c r="Q310">
        <f t="shared" si="14"/>
        <v>2023</v>
      </c>
    </row>
    <row r="311" spans="1:17" x14ac:dyDescent="0.25">
      <c r="A311">
        <v>1036</v>
      </c>
      <c r="B311" s="1">
        <v>45245</v>
      </c>
      <c r="C311" t="s">
        <v>14</v>
      </c>
      <c r="D311" t="s">
        <v>21</v>
      </c>
      <c r="E311" s="4">
        <v>7316.91</v>
      </c>
      <c r="F311" s="2">
        <v>19</v>
      </c>
      <c r="G311" t="s">
        <v>16</v>
      </c>
      <c r="H311">
        <v>2844.97</v>
      </c>
      <c r="I311">
        <v>3215</v>
      </c>
      <c r="J311" t="s">
        <v>17</v>
      </c>
      <c r="K311" s="5">
        <v>0.09</v>
      </c>
      <c r="L311" t="s">
        <v>31</v>
      </c>
      <c r="M311" t="s">
        <v>22</v>
      </c>
      <c r="N311" t="s">
        <v>23</v>
      </c>
      <c r="O311" t="str">
        <f t="shared" si="12"/>
        <v>November</v>
      </c>
      <c r="P311">
        <f t="shared" si="13"/>
        <v>11</v>
      </c>
      <c r="Q311">
        <f t="shared" si="14"/>
        <v>2023</v>
      </c>
    </row>
    <row r="312" spans="1:17" x14ac:dyDescent="0.25">
      <c r="A312">
        <v>1038</v>
      </c>
      <c r="B312" s="1">
        <v>45058</v>
      </c>
      <c r="C312" t="s">
        <v>14</v>
      </c>
      <c r="D312" t="s">
        <v>25</v>
      </c>
      <c r="E312" s="4">
        <v>8630.74</v>
      </c>
      <c r="F312" s="2">
        <v>20</v>
      </c>
      <c r="G312" t="s">
        <v>29</v>
      </c>
      <c r="H312">
        <v>2607.31</v>
      </c>
      <c r="I312">
        <v>2774.86</v>
      </c>
      <c r="J312" t="s">
        <v>30</v>
      </c>
      <c r="K312" s="5">
        <v>0.27</v>
      </c>
      <c r="L312" t="s">
        <v>31</v>
      </c>
      <c r="M312" t="s">
        <v>22</v>
      </c>
      <c r="N312" t="s">
        <v>32</v>
      </c>
      <c r="O312" t="str">
        <f t="shared" si="12"/>
        <v>May</v>
      </c>
      <c r="P312">
        <f t="shared" si="13"/>
        <v>5</v>
      </c>
      <c r="Q312">
        <f t="shared" si="14"/>
        <v>2023</v>
      </c>
    </row>
    <row r="313" spans="1:17" x14ac:dyDescent="0.25">
      <c r="A313">
        <v>1084</v>
      </c>
      <c r="B313" s="1">
        <v>45190</v>
      </c>
      <c r="C313" t="s">
        <v>38</v>
      </c>
      <c r="D313" t="s">
        <v>25</v>
      </c>
      <c r="E313" s="4">
        <v>2813.31</v>
      </c>
      <c r="F313" s="2">
        <v>36</v>
      </c>
      <c r="G313" t="s">
        <v>16</v>
      </c>
      <c r="H313">
        <v>1458.77</v>
      </c>
      <c r="I313">
        <v>1485.75</v>
      </c>
      <c r="J313" t="s">
        <v>30</v>
      </c>
      <c r="K313" s="5">
        <v>0.25</v>
      </c>
      <c r="L313" t="s">
        <v>31</v>
      </c>
      <c r="M313" t="s">
        <v>19</v>
      </c>
      <c r="N313" t="s">
        <v>39</v>
      </c>
      <c r="O313" t="str">
        <f t="shared" si="12"/>
        <v>September</v>
      </c>
      <c r="P313">
        <f t="shared" si="13"/>
        <v>9</v>
      </c>
      <c r="Q313">
        <f t="shared" si="14"/>
        <v>2023</v>
      </c>
    </row>
    <row r="314" spans="1:17" x14ac:dyDescent="0.25">
      <c r="A314">
        <v>1099</v>
      </c>
      <c r="B314" s="1">
        <v>44981</v>
      </c>
      <c r="C314" t="s">
        <v>24</v>
      </c>
      <c r="D314" t="s">
        <v>34</v>
      </c>
      <c r="E314" s="4">
        <v>8090</v>
      </c>
      <c r="F314" s="2">
        <v>35</v>
      </c>
      <c r="G314" t="s">
        <v>29</v>
      </c>
      <c r="H314">
        <v>2610.19</v>
      </c>
      <c r="I314">
        <v>2682.53</v>
      </c>
      <c r="J314" t="s">
        <v>30</v>
      </c>
      <c r="K314" s="5">
        <v>0.14000000000000001</v>
      </c>
      <c r="L314" t="s">
        <v>18</v>
      </c>
      <c r="M314" t="s">
        <v>22</v>
      </c>
      <c r="N314" t="s">
        <v>50</v>
      </c>
      <c r="O314" t="str">
        <f t="shared" si="12"/>
        <v>February</v>
      </c>
      <c r="P314">
        <f t="shared" si="13"/>
        <v>2</v>
      </c>
      <c r="Q314">
        <f t="shared" si="14"/>
        <v>2023</v>
      </c>
    </row>
    <row r="315" spans="1:17" x14ac:dyDescent="0.25">
      <c r="A315">
        <v>1089</v>
      </c>
      <c r="B315" s="1">
        <v>45285</v>
      </c>
      <c r="C315" t="s">
        <v>38</v>
      </c>
      <c r="D315" t="s">
        <v>25</v>
      </c>
      <c r="E315" s="4">
        <v>2032.88</v>
      </c>
      <c r="F315" s="2">
        <v>32</v>
      </c>
      <c r="G315" t="s">
        <v>29</v>
      </c>
      <c r="H315">
        <v>4248.5</v>
      </c>
      <c r="I315">
        <v>4706.7</v>
      </c>
      <c r="J315" t="s">
        <v>30</v>
      </c>
      <c r="K315" s="5">
        <v>0.01</v>
      </c>
      <c r="L315" t="s">
        <v>27</v>
      </c>
      <c r="M315" t="s">
        <v>22</v>
      </c>
      <c r="N315" t="s">
        <v>39</v>
      </c>
      <c r="O315" t="str">
        <f t="shared" si="12"/>
        <v>December</v>
      </c>
      <c r="P315">
        <f t="shared" si="13"/>
        <v>12</v>
      </c>
      <c r="Q315">
        <f t="shared" si="14"/>
        <v>2023</v>
      </c>
    </row>
    <row r="316" spans="1:17" x14ac:dyDescent="0.25">
      <c r="A316">
        <v>1099</v>
      </c>
      <c r="B316" s="1">
        <v>45057</v>
      </c>
      <c r="C316" t="s">
        <v>42</v>
      </c>
      <c r="D316" t="s">
        <v>25</v>
      </c>
      <c r="E316" s="4">
        <v>3518.89</v>
      </c>
      <c r="F316" s="2">
        <v>48</v>
      </c>
      <c r="G316" t="s">
        <v>26</v>
      </c>
      <c r="H316">
        <v>3441.61</v>
      </c>
      <c r="I316">
        <v>3693.45</v>
      </c>
      <c r="J316" t="s">
        <v>17</v>
      </c>
      <c r="K316" s="5">
        <v>0.19</v>
      </c>
      <c r="L316" t="s">
        <v>27</v>
      </c>
      <c r="M316" t="s">
        <v>19</v>
      </c>
      <c r="N316" t="s">
        <v>43</v>
      </c>
      <c r="O316" t="str">
        <f t="shared" si="12"/>
        <v>May</v>
      </c>
      <c r="P316">
        <f t="shared" si="13"/>
        <v>5</v>
      </c>
      <c r="Q316">
        <f t="shared" si="14"/>
        <v>2023</v>
      </c>
    </row>
    <row r="317" spans="1:17" x14ac:dyDescent="0.25">
      <c r="A317">
        <v>1025</v>
      </c>
      <c r="B317" s="1">
        <v>45214</v>
      </c>
      <c r="C317" t="s">
        <v>24</v>
      </c>
      <c r="D317" t="s">
        <v>15</v>
      </c>
      <c r="E317" s="4">
        <v>3422.54</v>
      </c>
      <c r="F317" s="2">
        <v>44</v>
      </c>
      <c r="G317" t="s">
        <v>26</v>
      </c>
      <c r="H317">
        <v>1485.72</v>
      </c>
      <c r="I317">
        <v>1717.97</v>
      </c>
      <c r="J317" t="s">
        <v>30</v>
      </c>
      <c r="K317" s="5">
        <v>0.02</v>
      </c>
      <c r="L317" t="s">
        <v>31</v>
      </c>
      <c r="M317" t="s">
        <v>22</v>
      </c>
      <c r="N317" t="s">
        <v>45</v>
      </c>
      <c r="O317" t="str">
        <f t="shared" si="12"/>
        <v>October</v>
      </c>
      <c r="P317">
        <f t="shared" si="13"/>
        <v>10</v>
      </c>
      <c r="Q317">
        <f t="shared" si="14"/>
        <v>2023</v>
      </c>
    </row>
    <row r="318" spans="1:17" x14ac:dyDescent="0.25">
      <c r="A318">
        <v>1093</v>
      </c>
      <c r="B318" s="1">
        <v>45192</v>
      </c>
      <c r="C318" t="s">
        <v>33</v>
      </c>
      <c r="D318" t="s">
        <v>15</v>
      </c>
      <c r="E318" s="4">
        <v>9787.4</v>
      </c>
      <c r="F318" s="2">
        <v>40</v>
      </c>
      <c r="G318" t="s">
        <v>16</v>
      </c>
      <c r="H318">
        <v>1047.25</v>
      </c>
      <c r="I318">
        <v>1075.8900000000001</v>
      </c>
      <c r="J318" t="s">
        <v>30</v>
      </c>
      <c r="K318" s="5">
        <v>0.28000000000000003</v>
      </c>
      <c r="L318" t="s">
        <v>31</v>
      </c>
      <c r="M318" t="s">
        <v>22</v>
      </c>
      <c r="N318" t="s">
        <v>53</v>
      </c>
      <c r="O318" t="str">
        <f t="shared" si="12"/>
        <v>September</v>
      </c>
      <c r="P318">
        <f t="shared" si="13"/>
        <v>9</v>
      </c>
      <c r="Q318">
        <f t="shared" si="14"/>
        <v>2023</v>
      </c>
    </row>
    <row r="319" spans="1:17" x14ac:dyDescent="0.25">
      <c r="A319">
        <v>1018</v>
      </c>
      <c r="B319" s="1">
        <v>45292</v>
      </c>
      <c r="C319" t="s">
        <v>42</v>
      </c>
      <c r="D319" t="s">
        <v>21</v>
      </c>
      <c r="E319" s="4">
        <v>8579.7199999999993</v>
      </c>
      <c r="F319" s="2">
        <v>24</v>
      </c>
      <c r="G319" t="s">
        <v>35</v>
      </c>
      <c r="H319">
        <v>1362.78</v>
      </c>
      <c r="I319">
        <v>1729.81</v>
      </c>
      <c r="J319" t="s">
        <v>30</v>
      </c>
      <c r="K319" s="5">
        <v>0.28999999999999998</v>
      </c>
      <c r="L319" t="s">
        <v>27</v>
      </c>
      <c r="M319" t="s">
        <v>19</v>
      </c>
      <c r="N319" t="s">
        <v>51</v>
      </c>
      <c r="O319" t="str">
        <f t="shared" si="12"/>
        <v>January</v>
      </c>
      <c r="P319">
        <f t="shared" si="13"/>
        <v>1</v>
      </c>
      <c r="Q319">
        <f t="shared" si="14"/>
        <v>2024</v>
      </c>
    </row>
    <row r="320" spans="1:17" x14ac:dyDescent="0.25">
      <c r="A320">
        <v>1082</v>
      </c>
      <c r="B320" s="1">
        <v>45088</v>
      </c>
      <c r="C320" t="s">
        <v>42</v>
      </c>
      <c r="D320" t="s">
        <v>15</v>
      </c>
      <c r="E320" s="4">
        <v>7041.58</v>
      </c>
      <c r="F320" s="2">
        <v>17</v>
      </c>
      <c r="G320" t="s">
        <v>16</v>
      </c>
      <c r="H320">
        <v>890.31</v>
      </c>
      <c r="I320">
        <v>1159.06</v>
      </c>
      <c r="J320" t="s">
        <v>17</v>
      </c>
      <c r="K320" s="5">
        <v>0.06</v>
      </c>
      <c r="L320" t="s">
        <v>18</v>
      </c>
      <c r="M320" t="s">
        <v>22</v>
      </c>
      <c r="N320" t="s">
        <v>49</v>
      </c>
      <c r="O320" t="str">
        <f t="shared" si="12"/>
        <v>June</v>
      </c>
      <c r="P320">
        <f t="shared" si="13"/>
        <v>6</v>
      </c>
      <c r="Q320">
        <f t="shared" si="14"/>
        <v>2023</v>
      </c>
    </row>
    <row r="321" spans="1:17" x14ac:dyDescent="0.25">
      <c r="A321">
        <v>1066</v>
      </c>
      <c r="B321" s="1">
        <v>45013</v>
      </c>
      <c r="C321" t="s">
        <v>33</v>
      </c>
      <c r="D321" t="s">
        <v>15</v>
      </c>
      <c r="E321" s="4">
        <v>7297.86</v>
      </c>
      <c r="F321" s="2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 s="5">
        <v>0.2</v>
      </c>
      <c r="L321" t="s">
        <v>27</v>
      </c>
      <c r="M321" t="s">
        <v>19</v>
      </c>
      <c r="N321" t="s">
        <v>53</v>
      </c>
      <c r="O321" t="str">
        <f t="shared" si="12"/>
        <v>March</v>
      </c>
      <c r="P321">
        <f t="shared" si="13"/>
        <v>3</v>
      </c>
      <c r="Q321">
        <f t="shared" si="14"/>
        <v>2023</v>
      </c>
    </row>
    <row r="322" spans="1:17" x14ac:dyDescent="0.25">
      <c r="A322">
        <v>1054</v>
      </c>
      <c r="B322" s="1">
        <v>44981</v>
      </c>
      <c r="C322" t="s">
        <v>42</v>
      </c>
      <c r="D322" t="s">
        <v>15</v>
      </c>
      <c r="E322" s="4">
        <v>5664.52</v>
      </c>
      <c r="F322" s="2">
        <v>43</v>
      </c>
      <c r="G322" t="s">
        <v>26</v>
      </c>
      <c r="H322">
        <v>2124.7199999999998</v>
      </c>
      <c r="I322">
        <v>2188.66</v>
      </c>
      <c r="J322" t="s">
        <v>17</v>
      </c>
      <c r="K322" s="5">
        <v>0.03</v>
      </c>
      <c r="L322" t="s">
        <v>31</v>
      </c>
      <c r="M322" t="s">
        <v>22</v>
      </c>
      <c r="N322" t="s">
        <v>49</v>
      </c>
      <c r="O322" t="str">
        <f t="shared" ref="O322:O385" si="15">TEXT(B322,"mmmm")</f>
        <v>February</v>
      </c>
      <c r="P322">
        <f t="shared" ref="P322:P385" si="16">MONTH(B322)</f>
        <v>2</v>
      </c>
      <c r="Q322">
        <f t="shared" ref="Q322:Q385" si="17">YEAR(B322)</f>
        <v>2023</v>
      </c>
    </row>
    <row r="323" spans="1:17" x14ac:dyDescent="0.25">
      <c r="A323">
        <v>1035</v>
      </c>
      <c r="B323" s="1">
        <v>45214</v>
      </c>
      <c r="C323" t="s">
        <v>24</v>
      </c>
      <c r="D323" t="s">
        <v>15</v>
      </c>
      <c r="E323" s="4">
        <v>9476.2000000000007</v>
      </c>
      <c r="F323" s="2">
        <v>1</v>
      </c>
      <c r="G323" t="s">
        <v>16</v>
      </c>
      <c r="H323">
        <v>610.83000000000004</v>
      </c>
      <c r="I323">
        <v>808.69</v>
      </c>
      <c r="J323" t="s">
        <v>30</v>
      </c>
      <c r="K323" s="5">
        <v>0.22</v>
      </c>
      <c r="L323" t="s">
        <v>31</v>
      </c>
      <c r="M323" t="s">
        <v>19</v>
      </c>
      <c r="N323" t="s">
        <v>45</v>
      </c>
      <c r="O323" t="str">
        <f t="shared" si="15"/>
        <v>October</v>
      </c>
      <c r="P323">
        <f t="shared" si="16"/>
        <v>10</v>
      </c>
      <c r="Q323">
        <f t="shared" si="17"/>
        <v>2023</v>
      </c>
    </row>
    <row r="324" spans="1:17" x14ac:dyDescent="0.25">
      <c r="A324">
        <v>1080</v>
      </c>
      <c r="B324" s="1">
        <v>45104</v>
      </c>
      <c r="C324" t="s">
        <v>38</v>
      </c>
      <c r="D324" t="s">
        <v>21</v>
      </c>
      <c r="E324" s="4">
        <v>5012.96</v>
      </c>
      <c r="F324" s="2">
        <v>35</v>
      </c>
      <c r="G324" t="s">
        <v>16</v>
      </c>
      <c r="H324">
        <v>900.97</v>
      </c>
      <c r="I324">
        <v>1321.18</v>
      </c>
      <c r="J324" t="s">
        <v>17</v>
      </c>
      <c r="K324" s="5">
        <v>0.1</v>
      </c>
      <c r="L324" t="s">
        <v>18</v>
      </c>
      <c r="M324" t="s">
        <v>19</v>
      </c>
      <c r="N324" t="s">
        <v>41</v>
      </c>
      <c r="O324" t="str">
        <f t="shared" si="15"/>
        <v>June</v>
      </c>
      <c r="P324">
        <f t="shared" si="16"/>
        <v>6</v>
      </c>
      <c r="Q324">
        <f t="shared" si="17"/>
        <v>2023</v>
      </c>
    </row>
    <row r="325" spans="1:17" x14ac:dyDescent="0.25">
      <c r="A325">
        <v>1061</v>
      </c>
      <c r="B325" s="1">
        <v>45275</v>
      </c>
      <c r="C325" t="s">
        <v>42</v>
      </c>
      <c r="D325" t="s">
        <v>15</v>
      </c>
      <c r="E325" s="4">
        <v>3867.13</v>
      </c>
      <c r="F325" s="2">
        <v>32</v>
      </c>
      <c r="G325" t="s">
        <v>26</v>
      </c>
      <c r="H325">
        <v>2759.26</v>
      </c>
      <c r="I325">
        <v>3193.25</v>
      </c>
      <c r="J325" t="s">
        <v>30</v>
      </c>
      <c r="K325" s="5">
        <v>0.2</v>
      </c>
      <c r="L325" t="s">
        <v>27</v>
      </c>
      <c r="M325" t="s">
        <v>19</v>
      </c>
      <c r="N325" t="s">
        <v>49</v>
      </c>
      <c r="O325" t="str">
        <f t="shared" si="15"/>
        <v>December</v>
      </c>
      <c r="P325">
        <f t="shared" si="16"/>
        <v>12</v>
      </c>
      <c r="Q325">
        <f t="shared" si="17"/>
        <v>2023</v>
      </c>
    </row>
    <row r="326" spans="1:17" x14ac:dyDescent="0.25">
      <c r="A326">
        <v>1041</v>
      </c>
      <c r="B326" s="1">
        <v>44934</v>
      </c>
      <c r="C326" t="s">
        <v>24</v>
      </c>
      <c r="D326" t="s">
        <v>34</v>
      </c>
      <c r="E326" s="4">
        <v>1714.05</v>
      </c>
      <c r="F326" s="2">
        <v>36</v>
      </c>
      <c r="G326" t="s">
        <v>26</v>
      </c>
      <c r="H326">
        <v>864.77</v>
      </c>
      <c r="I326">
        <v>1170.1599999999901</v>
      </c>
      <c r="J326" t="s">
        <v>17</v>
      </c>
      <c r="K326" s="5">
        <v>0.11</v>
      </c>
      <c r="L326" t="s">
        <v>18</v>
      </c>
      <c r="M326" t="s">
        <v>22</v>
      </c>
      <c r="N326" t="s">
        <v>50</v>
      </c>
      <c r="O326" t="str">
        <f t="shared" si="15"/>
        <v>January</v>
      </c>
      <c r="P326">
        <f t="shared" si="16"/>
        <v>1</v>
      </c>
      <c r="Q326">
        <f t="shared" si="17"/>
        <v>2023</v>
      </c>
    </row>
    <row r="327" spans="1:17" x14ac:dyDescent="0.25">
      <c r="A327">
        <v>1100</v>
      </c>
      <c r="B327" s="1">
        <v>45247</v>
      </c>
      <c r="C327" t="s">
        <v>14</v>
      </c>
      <c r="D327" t="s">
        <v>34</v>
      </c>
      <c r="E327" s="4">
        <v>7883.44</v>
      </c>
      <c r="F327" s="2">
        <v>13</v>
      </c>
      <c r="G327" t="s">
        <v>26</v>
      </c>
      <c r="H327">
        <v>366.2</v>
      </c>
      <c r="I327">
        <v>732.69</v>
      </c>
      <c r="J327" t="s">
        <v>30</v>
      </c>
      <c r="K327" s="5">
        <v>0.04</v>
      </c>
      <c r="L327" t="s">
        <v>18</v>
      </c>
      <c r="M327" t="s">
        <v>22</v>
      </c>
      <c r="N327" t="s">
        <v>46</v>
      </c>
      <c r="O327" t="str">
        <f t="shared" si="15"/>
        <v>November</v>
      </c>
      <c r="P327">
        <f t="shared" si="16"/>
        <v>11</v>
      </c>
      <c r="Q327">
        <f t="shared" si="17"/>
        <v>2023</v>
      </c>
    </row>
    <row r="328" spans="1:17" x14ac:dyDescent="0.25">
      <c r="A328">
        <v>1033</v>
      </c>
      <c r="B328" s="1">
        <v>45239</v>
      </c>
      <c r="C328" t="s">
        <v>24</v>
      </c>
      <c r="D328" t="s">
        <v>34</v>
      </c>
      <c r="E328" s="4">
        <v>7370.99</v>
      </c>
      <c r="F328" s="2">
        <v>6</v>
      </c>
      <c r="G328" t="s">
        <v>29</v>
      </c>
      <c r="H328">
        <v>1621.07</v>
      </c>
      <c r="I328">
        <v>1687.5</v>
      </c>
      <c r="J328" t="s">
        <v>17</v>
      </c>
      <c r="K328" s="5">
        <v>0.12</v>
      </c>
      <c r="L328" t="s">
        <v>31</v>
      </c>
      <c r="M328" t="s">
        <v>19</v>
      </c>
      <c r="N328" t="s">
        <v>50</v>
      </c>
      <c r="O328" t="str">
        <f t="shared" si="15"/>
        <v>November</v>
      </c>
      <c r="P328">
        <f t="shared" si="16"/>
        <v>11</v>
      </c>
      <c r="Q328">
        <f t="shared" si="17"/>
        <v>2023</v>
      </c>
    </row>
    <row r="329" spans="1:17" x14ac:dyDescent="0.25">
      <c r="A329">
        <v>1068</v>
      </c>
      <c r="B329" s="1">
        <v>45173</v>
      </c>
      <c r="C329" t="s">
        <v>38</v>
      </c>
      <c r="D329" t="s">
        <v>34</v>
      </c>
      <c r="E329" s="4">
        <v>3905.11</v>
      </c>
      <c r="F329" s="2">
        <v>14</v>
      </c>
      <c r="G329" t="s">
        <v>26</v>
      </c>
      <c r="H329">
        <v>1140.58</v>
      </c>
      <c r="I329">
        <v>1438.76</v>
      </c>
      <c r="J329" t="s">
        <v>17</v>
      </c>
      <c r="K329" s="5">
        <v>0.03</v>
      </c>
      <c r="L329" t="s">
        <v>27</v>
      </c>
      <c r="M329" t="s">
        <v>19</v>
      </c>
      <c r="N329" t="s">
        <v>48</v>
      </c>
      <c r="O329" t="str">
        <f t="shared" si="15"/>
        <v>September</v>
      </c>
      <c r="P329">
        <f t="shared" si="16"/>
        <v>9</v>
      </c>
      <c r="Q329">
        <f t="shared" si="17"/>
        <v>2023</v>
      </c>
    </row>
    <row r="330" spans="1:17" x14ac:dyDescent="0.25">
      <c r="A330">
        <v>1033</v>
      </c>
      <c r="B330" s="1">
        <v>45249</v>
      </c>
      <c r="C330" t="s">
        <v>24</v>
      </c>
      <c r="D330" t="s">
        <v>15</v>
      </c>
      <c r="E330" s="4">
        <v>349.41</v>
      </c>
      <c r="F330" s="2">
        <v>37</v>
      </c>
      <c r="G330" t="s">
        <v>35</v>
      </c>
      <c r="H330">
        <v>2600.7600000000002</v>
      </c>
      <c r="I330">
        <v>2937.57</v>
      </c>
      <c r="J330" t="s">
        <v>30</v>
      </c>
      <c r="K330" s="5">
        <v>0.17</v>
      </c>
      <c r="L330" t="s">
        <v>31</v>
      </c>
      <c r="M330" t="s">
        <v>22</v>
      </c>
      <c r="N330" t="s">
        <v>45</v>
      </c>
      <c r="O330" t="str">
        <f t="shared" si="15"/>
        <v>November</v>
      </c>
      <c r="P330">
        <f t="shared" si="16"/>
        <v>11</v>
      </c>
      <c r="Q330">
        <f t="shared" si="17"/>
        <v>2023</v>
      </c>
    </row>
    <row r="331" spans="1:17" x14ac:dyDescent="0.25">
      <c r="A331">
        <v>1014</v>
      </c>
      <c r="B331" s="1">
        <v>45181</v>
      </c>
      <c r="C331" t="s">
        <v>33</v>
      </c>
      <c r="D331" t="s">
        <v>34</v>
      </c>
      <c r="E331" s="4">
        <v>8406.07</v>
      </c>
      <c r="F331" s="2">
        <v>48</v>
      </c>
      <c r="G331" t="s">
        <v>16</v>
      </c>
      <c r="H331">
        <v>556.72</v>
      </c>
      <c r="I331">
        <v>665.07</v>
      </c>
      <c r="J331" t="s">
        <v>17</v>
      </c>
      <c r="K331" s="5">
        <v>0.01</v>
      </c>
      <c r="L331" t="s">
        <v>27</v>
      </c>
      <c r="M331" t="s">
        <v>22</v>
      </c>
      <c r="N331" t="s">
        <v>36</v>
      </c>
      <c r="O331" t="str">
        <f t="shared" si="15"/>
        <v>September</v>
      </c>
      <c r="P331">
        <f t="shared" si="16"/>
        <v>9</v>
      </c>
      <c r="Q331">
        <f t="shared" si="17"/>
        <v>2023</v>
      </c>
    </row>
    <row r="332" spans="1:17" x14ac:dyDescent="0.25">
      <c r="A332">
        <v>1021</v>
      </c>
      <c r="B332" s="1">
        <v>45254</v>
      </c>
      <c r="C332" t="s">
        <v>38</v>
      </c>
      <c r="D332" t="s">
        <v>15</v>
      </c>
      <c r="E332" s="4">
        <v>213.04</v>
      </c>
      <c r="F332" s="2">
        <v>15</v>
      </c>
      <c r="G332" t="s">
        <v>26</v>
      </c>
      <c r="H332">
        <v>3771.27</v>
      </c>
      <c r="I332">
        <v>4212.55</v>
      </c>
      <c r="J332" t="s">
        <v>17</v>
      </c>
      <c r="K332" s="5">
        <v>0.16</v>
      </c>
      <c r="L332" t="s">
        <v>31</v>
      </c>
      <c r="M332" t="s">
        <v>22</v>
      </c>
      <c r="N332" t="s">
        <v>40</v>
      </c>
      <c r="O332" t="str">
        <f t="shared" si="15"/>
        <v>November</v>
      </c>
      <c r="P332">
        <f t="shared" si="16"/>
        <v>11</v>
      </c>
      <c r="Q332">
        <f t="shared" si="17"/>
        <v>2023</v>
      </c>
    </row>
    <row r="333" spans="1:17" x14ac:dyDescent="0.25">
      <c r="A333">
        <v>1048</v>
      </c>
      <c r="B333" s="1">
        <v>44980</v>
      </c>
      <c r="C333" t="s">
        <v>14</v>
      </c>
      <c r="D333" t="s">
        <v>21</v>
      </c>
      <c r="E333" s="4">
        <v>7066.63</v>
      </c>
      <c r="F333" s="2">
        <v>47</v>
      </c>
      <c r="G333" t="s">
        <v>26</v>
      </c>
      <c r="H333">
        <v>4535.8599999999997</v>
      </c>
      <c r="I333">
        <v>4641.41</v>
      </c>
      <c r="J333" t="s">
        <v>30</v>
      </c>
      <c r="K333" s="5">
        <v>0.27</v>
      </c>
      <c r="L333" t="s">
        <v>31</v>
      </c>
      <c r="M333" t="s">
        <v>22</v>
      </c>
      <c r="N333" t="s">
        <v>23</v>
      </c>
      <c r="O333" t="str">
        <f t="shared" si="15"/>
        <v>February</v>
      </c>
      <c r="P333">
        <f t="shared" si="16"/>
        <v>2</v>
      </c>
      <c r="Q333">
        <f t="shared" si="17"/>
        <v>2023</v>
      </c>
    </row>
    <row r="334" spans="1:17" x14ac:dyDescent="0.25">
      <c r="A334">
        <v>1020</v>
      </c>
      <c r="B334" s="1">
        <v>45175</v>
      </c>
      <c r="C334" t="s">
        <v>33</v>
      </c>
      <c r="D334" t="s">
        <v>34</v>
      </c>
      <c r="E334" s="4">
        <v>9705.5499999999993</v>
      </c>
      <c r="F334" s="2">
        <v>4</v>
      </c>
      <c r="G334" t="s">
        <v>29</v>
      </c>
      <c r="H334">
        <v>3730</v>
      </c>
      <c r="I334">
        <v>3893.6</v>
      </c>
      <c r="J334" t="s">
        <v>30</v>
      </c>
      <c r="K334" s="5">
        <v>0.25</v>
      </c>
      <c r="L334" t="s">
        <v>27</v>
      </c>
      <c r="M334" t="s">
        <v>22</v>
      </c>
      <c r="N334" t="s">
        <v>36</v>
      </c>
      <c r="O334" t="str">
        <f t="shared" si="15"/>
        <v>September</v>
      </c>
      <c r="P334">
        <f t="shared" si="16"/>
        <v>9</v>
      </c>
      <c r="Q334">
        <f t="shared" si="17"/>
        <v>2023</v>
      </c>
    </row>
    <row r="335" spans="1:17" x14ac:dyDescent="0.25">
      <c r="A335">
        <v>1008</v>
      </c>
      <c r="B335" s="1">
        <v>45165</v>
      </c>
      <c r="C335" t="s">
        <v>24</v>
      </c>
      <c r="D335" t="s">
        <v>25</v>
      </c>
      <c r="E335" s="4">
        <v>4432.8500000000004</v>
      </c>
      <c r="F335" s="2">
        <v>40</v>
      </c>
      <c r="G335" t="s">
        <v>29</v>
      </c>
      <c r="H335">
        <v>2687.49</v>
      </c>
      <c r="I335">
        <v>3001.56</v>
      </c>
      <c r="J335" t="s">
        <v>17</v>
      </c>
      <c r="K335" s="5">
        <v>0.26</v>
      </c>
      <c r="L335" t="s">
        <v>27</v>
      </c>
      <c r="M335" t="s">
        <v>19</v>
      </c>
      <c r="N335" t="s">
        <v>28</v>
      </c>
      <c r="O335" t="str">
        <f t="shared" si="15"/>
        <v>August</v>
      </c>
      <c r="P335">
        <f t="shared" si="16"/>
        <v>8</v>
      </c>
      <c r="Q335">
        <f t="shared" si="17"/>
        <v>2023</v>
      </c>
    </row>
    <row r="336" spans="1:17" x14ac:dyDescent="0.25">
      <c r="A336">
        <v>1007</v>
      </c>
      <c r="B336" s="1">
        <v>45155</v>
      </c>
      <c r="C336" t="s">
        <v>38</v>
      </c>
      <c r="D336" t="s">
        <v>34</v>
      </c>
      <c r="E336" s="4">
        <v>2426.2399999999998</v>
      </c>
      <c r="F336" s="2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 s="5">
        <v>0.28000000000000003</v>
      </c>
      <c r="L336" t="s">
        <v>31</v>
      </c>
      <c r="M336" t="s">
        <v>22</v>
      </c>
      <c r="N336" t="s">
        <v>48</v>
      </c>
      <c r="O336" t="str">
        <f t="shared" si="15"/>
        <v>August</v>
      </c>
      <c r="P336">
        <f t="shared" si="16"/>
        <v>8</v>
      </c>
      <c r="Q336">
        <f t="shared" si="17"/>
        <v>2023</v>
      </c>
    </row>
    <row r="337" spans="1:17" x14ac:dyDescent="0.25">
      <c r="A337">
        <v>1067</v>
      </c>
      <c r="B337" s="1">
        <v>44993</v>
      </c>
      <c r="C337" t="s">
        <v>14</v>
      </c>
      <c r="D337" t="s">
        <v>34</v>
      </c>
      <c r="E337" s="4">
        <v>7078.22</v>
      </c>
      <c r="F337" s="2">
        <v>28</v>
      </c>
      <c r="G337" t="s">
        <v>35</v>
      </c>
      <c r="H337">
        <v>3489.85</v>
      </c>
      <c r="I337">
        <v>3842.5499999999902</v>
      </c>
      <c r="J337" t="s">
        <v>30</v>
      </c>
      <c r="K337" s="5">
        <v>0.03</v>
      </c>
      <c r="L337" t="s">
        <v>27</v>
      </c>
      <c r="M337" t="s">
        <v>19</v>
      </c>
      <c r="N337" t="s">
        <v>46</v>
      </c>
      <c r="O337" t="str">
        <f t="shared" si="15"/>
        <v>March</v>
      </c>
      <c r="P337">
        <f t="shared" si="16"/>
        <v>3</v>
      </c>
      <c r="Q337">
        <f t="shared" si="17"/>
        <v>2023</v>
      </c>
    </row>
    <row r="338" spans="1:17" x14ac:dyDescent="0.25">
      <c r="A338">
        <v>1017</v>
      </c>
      <c r="B338" s="1">
        <v>44977</v>
      </c>
      <c r="C338" t="s">
        <v>33</v>
      </c>
      <c r="D338" t="s">
        <v>15</v>
      </c>
      <c r="E338" s="4">
        <v>8189.57</v>
      </c>
      <c r="F338" s="2">
        <v>16</v>
      </c>
      <c r="G338" t="s">
        <v>16</v>
      </c>
      <c r="H338">
        <v>102.23</v>
      </c>
      <c r="I338">
        <v>167.12</v>
      </c>
      <c r="J338" t="s">
        <v>30</v>
      </c>
      <c r="K338" s="5">
        <v>0.04</v>
      </c>
      <c r="L338" t="s">
        <v>31</v>
      </c>
      <c r="M338" t="s">
        <v>22</v>
      </c>
      <c r="N338" t="s">
        <v>53</v>
      </c>
      <c r="O338" t="str">
        <f t="shared" si="15"/>
        <v>February</v>
      </c>
      <c r="P338">
        <f t="shared" si="16"/>
        <v>2</v>
      </c>
      <c r="Q338">
        <f t="shared" si="17"/>
        <v>2023</v>
      </c>
    </row>
    <row r="339" spans="1:17" x14ac:dyDescent="0.25">
      <c r="A339">
        <v>1033</v>
      </c>
      <c r="B339" s="1">
        <v>45023</v>
      </c>
      <c r="C339" t="s">
        <v>14</v>
      </c>
      <c r="D339" t="s">
        <v>34</v>
      </c>
      <c r="E339" s="4">
        <v>5509.66</v>
      </c>
      <c r="F339" s="2">
        <v>4</v>
      </c>
      <c r="G339" t="s">
        <v>26</v>
      </c>
      <c r="H339">
        <v>2000.75</v>
      </c>
      <c r="I339">
        <v>2426.9899999999998</v>
      </c>
      <c r="J339" t="s">
        <v>17</v>
      </c>
      <c r="K339" s="5">
        <v>0.17</v>
      </c>
      <c r="L339" t="s">
        <v>27</v>
      </c>
      <c r="M339" t="s">
        <v>19</v>
      </c>
      <c r="N339" t="s">
        <v>46</v>
      </c>
      <c r="O339" t="str">
        <f t="shared" si="15"/>
        <v>April</v>
      </c>
      <c r="P339">
        <f t="shared" si="16"/>
        <v>4</v>
      </c>
      <c r="Q339">
        <f t="shared" si="17"/>
        <v>2023</v>
      </c>
    </row>
    <row r="340" spans="1:17" x14ac:dyDescent="0.25">
      <c r="A340">
        <v>1048</v>
      </c>
      <c r="B340" s="1">
        <v>45018</v>
      </c>
      <c r="C340" t="s">
        <v>24</v>
      </c>
      <c r="D340" t="s">
        <v>25</v>
      </c>
      <c r="E340" s="4">
        <v>9673.65</v>
      </c>
      <c r="F340" s="2">
        <v>45</v>
      </c>
      <c r="G340" t="s">
        <v>35</v>
      </c>
      <c r="H340">
        <v>4262.21</v>
      </c>
      <c r="I340">
        <v>4533.3100000000004</v>
      </c>
      <c r="J340" t="s">
        <v>17</v>
      </c>
      <c r="K340" s="5">
        <v>0.27</v>
      </c>
      <c r="L340" t="s">
        <v>31</v>
      </c>
      <c r="M340" t="s">
        <v>19</v>
      </c>
      <c r="N340" t="s">
        <v>28</v>
      </c>
      <c r="O340" t="str">
        <f t="shared" si="15"/>
        <v>April</v>
      </c>
      <c r="P340">
        <f t="shared" si="16"/>
        <v>4</v>
      </c>
      <c r="Q340">
        <f t="shared" si="17"/>
        <v>2023</v>
      </c>
    </row>
    <row r="341" spans="1:17" x14ac:dyDescent="0.25">
      <c r="A341">
        <v>1076</v>
      </c>
      <c r="B341" s="1">
        <v>45190</v>
      </c>
      <c r="C341" t="s">
        <v>14</v>
      </c>
      <c r="D341" t="s">
        <v>15</v>
      </c>
      <c r="E341" s="4">
        <v>611.52</v>
      </c>
      <c r="F341" s="2">
        <v>26</v>
      </c>
      <c r="G341" t="s">
        <v>35</v>
      </c>
      <c r="H341">
        <v>1762</v>
      </c>
      <c r="I341">
        <v>2002.95</v>
      </c>
      <c r="J341" t="s">
        <v>17</v>
      </c>
      <c r="K341" s="5">
        <v>0.28999999999999998</v>
      </c>
      <c r="L341" t="s">
        <v>31</v>
      </c>
      <c r="M341" t="s">
        <v>22</v>
      </c>
      <c r="N341" t="s">
        <v>20</v>
      </c>
      <c r="O341" t="str">
        <f t="shared" si="15"/>
        <v>September</v>
      </c>
      <c r="P341">
        <f t="shared" si="16"/>
        <v>9</v>
      </c>
      <c r="Q341">
        <f t="shared" si="17"/>
        <v>2023</v>
      </c>
    </row>
    <row r="342" spans="1:17" x14ac:dyDescent="0.25">
      <c r="A342">
        <v>1059</v>
      </c>
      <c r="B342" s="1">
        <v>45217</v>
      </c>
      <c r="C342" t="s">
        <v>42</v>
      </c>
      <c r="D342" t="s">
        <v>15</v>
      </c>
      <c r="E342" s="4">
        <v>5097.4799999999996</v>
      </c>
      <c r="F342" s="2">
        <v>28</v>
      </c>
      <c r="G342" t="s">
        <v>35</v>
      </c>
      <c r="H342">
        <v>224.32</v>
      </c>
      <c r="I342">
        <v>715.06</v>
      </c>
      <c r="J342" t="s">
        <v>17</v>
      </c>
      <c r="K342" s="5">
        <v>0.01</v>
      </c>
      <c r="L342" t="s">
        <v>31</v>
      </c>
      <c r="M342" t="s">
        <v>19</v>
      </c>
      <c r="N342" t="s">
        <v>49</v>
      </c>
      <c r="O342" t="str">
        <f t="shared" si="15"/>
        <v>October</v>
      </c>
      <c r="P342">
        <f t="shared" si="16"/>
        <v>10</v>
      </c>
      <c r="Q342">
        <f t="shared" si="17"/>
        <v>2023</v>
      </c>
    </row>
    <row r="343" spans="1:17" x14ac:dyDescent="0.25">
      <c r="A343">
        <v>1086</v>
      </c>
      <c r="B343" s="1">
        <v>45022</v>
      </c>
      <c r="C343" t="s">
        <v>33</v>
      </c>
      <c r="D343" t="s">
        <v>21</v>
      </c>
      <c r="E343" s="4">
        <v>7212.69</v>
      </c>
      <c r="F343" s="2">
        <v>32</v>
      </c>
      <c r="G343" t="s">
        <v>35</v>
      </c>
      <c r="H343">
        <v>3743.59</v>
      </c>
      <c r="I343">
        <v>4116.38</v>
      </c>
      <c r="J343" t="s">
        <v>17</v>
      </c>
      <c r="K343" s="5">
        <v>0.11</v>
      </c>
      <c r="L343" t="s">
        <v>18</v>
      </c>
      <c r="M343" t="s">
        <v>19</v>
      </c>
      <c r="N343" t="s">
        <v>37</v>
      </c>
      <c r="O343" t="str">
        <f t="shared" si="15"/>
        <v>April</v>
      </c>
      <c r="P343">
        <f t="shared" si="16"/>
        <v>4</v>
      </c>
      <c r="Q343">
        <f t="shared" si="17"/>
        <v>2023</v>
      </c>
    </row>
    <row r="344" spans="1:17" x14ac:dyDescent="0.25">
      <c r="A344">
        <v>1022</v>
      </c>
      <c r="B344" s="1">
        <v>45014</v>
      </c>
      <c r="C344" t="s">
        <v>14</v>
      </c>
      <c r="D344" t="s">
        <v>21</v>
      </c>
      <c r="E344" s="4">
        <v>8640.14</v>
      </c>
      <c r="F344" s="2">
        <v>45</v>
      </c>
      <c r="G344" t="s">
        <v>16</v>
      </c>
      <c r="H344">
        <v>4020.09</v>
      </c>
      <c r="I344">
        <v>4087.91</v>
      </c>
      <c r="J344" t="s">
        <v>17</v>
      </c>
      <c r="K344" s="5">
        <v>0.06</v>
      </c>
      <c r="L344" t="s">
        <v>27</v>
      </c>
      <c r="M344" t="s">
        <v>19</v>
      </c>
      <c r="N344" t="s">
        <v>23</v>
      </c>
      <c r="O344" t="str">
        <f t="shared" si="15"/>
        <v>March</v>
      </c>
      <c r="P344">
        <f t="shared" si="16"/>
        <v>3</v>
      </c>
      <c r="Q344">
        <f t="shared" si="17"/>
        <v>2023</v>
      </c>
    </row>
    <row r="345" spans="1:17" x14ac:dyDescent="0.25">
      <c r="A345">
        <v>1030</v>
      </c>
      <c r="B345" s="1">
        <v>45004</v>
      </c>
      <c r="C345" t="s">
        <v>24</v>
      </c>
      <c r="D345" t="s">
        <v>34</v>
      </c>
      <c r="E345" s="4">
        <v>1874.63</v>
      </c>
      <c r="F345" s="2">
        <v>2</v>
      </c>
      <c r="G345" t="s">
        <v>29</v>
      </c>
      <c r="H345">
        <v>844.94</v>
      </c>
      <c r="I345">
        <v>1225.6400000000001</v>
      </c>
      <c r="J345" t="s">
        <v>17</v>
      </c>
      <c r="K345" s="5">
        <v>0.23</v>
      </c>
      <c r="L345" t="s">
        <v>31</v>
      </c>
      <c r="M345" t="s">
        <v>19</v>
      </c>
      <c r="N345" t="s">
        <v>50</v>
      </c>
      <c r="O345" t="str">
        <f t="shared" si="15"/>
        <v>March</v>
      </c>
      <c r="P345">
        <f t="shared" si="16"/>
        <v>3</v>
      </c>
      <c r="Q345">
        <f t="shared" si="17"/>
        <v>2023</v>
      </c>
    </row>
    <row r="346" spans="1:17" x14ac:dyDescent="0.25">
      <c r="A346">
        <v>1038</v>
      </c>
      <c r="B346" s="1">
        <v>45214</v>
      </c>
      <c r="C346" t="s">
        <v>24</v>
      </c>
      <c r="D346" t="s">
        <v>21</v>
      </c>
      <c r="E346" s="4">
        <v>8020.03</v>
      </c>
      <c r="F346" s="2">
        <v>31</v>
      </c>
      <c r="G346" t="s">
        <v>29</v>
      </c>
      <c r="H346">
        <v>2709.84</v>
      </c>
      <c r="I346">
        <v>2766.51</v>
      </c>
      <c r="J346" t="s">
        <v>30</v>
      </c>
      <c r="K346" s="5">
        <v>0.19</v>
      </c>
      <c r="L346" t="s">
        <v>18</v>
      </c>
      <c r="M346" t="s">
        <v>22</v>
      </c>
      <c r="N346" t="s">
        <v>47</v>
      </c>
      <c r="O346" t="str">
        <f t="shared" si="15"/>
        <v>October</v>
      </c>
      <c r="P346">
        <f t="shared" si="16"/>
        <v>10</v>
      </c>
      <c r="Q346">
        <f t="shared" si="17"/>
        <v>2023</v>
      </c>
    </row>
    <row r="347" spans="1:17" x14ac:dyDescent="0.25">
      <c r="A347">
        <v>1051</v>
      </c>
      <c r="B347" s="1">
        <v>45046</v>
      </c>
      <c r="C347" t="s">
        <v>14</v>
      </c>
      <c r="D347" t="s">
        <v>21</v>
      </c>
      <c r="E347" s="4">
        <v>5571.8</v>
      </c>
      <c r="F347" s="2">
        <v>3</v>
      </c>
      <c r="G347" t="s">
        <v>26</v>
      </c>
      <c r="H347">
        <v>1000.18</v>
      </c>
      <c r="I347">
        <v>1023.64</v>
      </c>
      <c r="J347" t="s">
        <v>17</v>
      </c>
      <c r="K347" s="5">
        <v>0.04</v>
      </c>
      <c r="L347" t="s">
        <v>31</v>
      </c>
      <c r="M347" t="s">
        <v>19</v>
      </c>
      <c r="N347" t="s">
        <v>23</v>
      </c>
      <c r="O347" t="str">
        <f t="shared" si="15"/>
        <v>April</v>
      </c>
      <c r="P347">
        <f t="shared" si="16"/>
        <v>4</v>
      </c>
      <c r="Q347">
        <f t="shared" si="17"/>
        <v>2023</v>
      </c>
    </row>
    <row r="348" spans="1:17" x14ac:dyDescent="0.25">
      <c r="A348">
        <v>1054</v>
      </c>
      <c r="B348" s="1">
        <v>45228</v>
      </c>
      <c r="C348" t="s">
        <v>24</v>
      </c>
      <c r="D348" t="s">
        <v>21</v>
      </c>
      <c r="E348" s="4">
        <v>4025.88</v>
      </c>
      <c r="F348" s="2">
        <v>8</v>
      </c>
      <c r="G348" t="s">
        <v>29</v>
      </c>
      <c r="H348">
        <v>3610.21</v>
      </c>
      <c r="I348">
        <v>3817.99</v>
      </c>
      <c r="J348" t="s">
        <v>17</v>
      </c>
      <c r="K348" s="5">
        <v>0.15</v>
      </c>
      <c r="L348" t="s">
        <v>18</v>
      </c>
      <c r="M348" t="s">
        <v>22</v>
      </c>
      <c r="N348" t="s">
        <v>47</v>
      </c>
      <c r="O348" t="str">
        <f t="shared" si="15"/>
        <v>October</v>
      </c>
      <c r="P348">
        <f t="shared" si="16"/>
        <v>10</v>
      </c>
      <c r="Q348">
        <f t="shared" si="17"/>
        <v>2023</v>
      </c>
    </row>
    <row r="349" spans="1:17" x14ac:dyDescent="0.25">
      <c r="A349">
        <v>1008</v>
      </c>
      <c r="B349" s="1">
        <v>45091</v>
      </c>
      <c r="C349" t="s">
        <v>38</v>
      </c>
      <c r="D349" t="s">
        <v>15</v>
      </c>
      <c r="E349" s="4">
        <v>1403.98</v>
      </c>
      <c r="F349" s="2">
        <v>24</v>
      </c>
      <c r="G349" t="s">
        <v>29</v>
      </c>
      <c r="H349">
        <v>1394.17</v>
      </c>
      <c r="I349">
        <v>1891.02</v>
      </c>
      <c r="J349" t="s">
        <v>30</v>
      </c>
      <c r="K349" s="5">
        <v>0.21</v>
      </c>
      <c r="L349" t="s">
        <v>31</v>
      </c>
      <c r="M349" t="s">
        <v>19</v>
      </c>
      <c r="N349" t="s">
        <v>40</v>
      </c>
      <c r="O349" t="str">
        <f t="shared" si="15"/>
        <v>June</v>
      </c>
      <c r="P349">
        <f t="shared" si="16"/>
        <v>6</v>
      </c>
      <c r="Q349">
        <f t="shared" si="17"/>
        <v>2023</v>
      </c>
    </row>
    <row r="350" spans="1:17" x14ac:dyDescent="0.25">
      <c r="A350">
        <v>1027</v>
      </c>
      <c r="B350" s="1">
        <v>45108</v>
      </c>
      <c r="C350" t="s">
        <v>38</v>
      </c>
      <c r="D350" t="s">
        <v>15</v>
      </c>
      <c r="E350" s="4">
        <v>8666.43</v>
      </c>
      <c r="F350" s="2">
        <v>15</v>
      </c>
      <c r="G350" t="s">
        <v>29</v>
      </c>
      <c r="H350">
        <v>1615.26</v>
      </c>
      <c r="I350">
        <v>1710.95</v>
      </c>
      <c r="J350" t="s">
        <v>30</v>
      </c>
      <c r="K350" s="5">
        <v>0.23</v>
      </c>
      <c r="L350" t="s">
        <v>31</v>
      </c>
      <c r="M350" t="s">
        <v>22</v>
      </c>
      <c r="N350" t="s">
        <v>40</v>
      </c>
      <c r="O350" t="str">
        <f t="shared" si="15"/>
        <v>July</v>
      </c>
      <c r="P350">
        <f t="shared" si="16"/>
        <v>7</v>
      </c>
      <c r="Q350">
        <f t="shared" si="17"/>
        <v>2023</v>
      </c>
    </row>
    <row r="351" spans="1:17" x14ac:dyDescent="0.25">
      <c r="A351">
        <v>1027</v>
      </c>
      <c r="B351" s="1">
        <v>45149</v>
      </c>
      <c r="C351" t="s">
        <v>38</v>
      </c>
      <c r="D351" t="s">
        <v>15</v>
      </c>
      <c r="E351" s="4">
        <v>1657</v>
      </c>
      <c r="F351" s="2">
        <v>43</v>
      </c>
      <c r="G351" t="s">
        <v>29</v>
      </c>
      <c r="H351">
        <v>4232.6099999999997</v>
      </c>
      <c r="I351">
        <v>4572.21</v>
      </c>
      <c r="J351" t="s">
        <v>30</v>
      </c>
      <c r="K351" s="5">
        <v>0.01</v>
      </c>
      <c r="L351" t="s">
        <v>18</v>
      </c>
      <c r="M351" t="s">
        <v>22</v>
      </c>
      <c r="N351" t="s">
        <v>40</v>
      </c>
      <c r="O351" t="str">
        <f t="shared" si="15"/>
        <v>August</v>
      </c>
      <c r="P351">
        <f t="shared" si="16"/>
        <v>8</v>
      </c>
      <c r="Q351">
        <f t="shared" si="17"/>
        <v>2023</v>
      </c>
    </row>
    <row r="352" spans="1:17" x14ac:dyDescent="0.25">
      <c r="A352">
        <v>1098</v>
      </c>
      <c r="B352" s="1">
        <v>45237</v>
      </c>
      <c r="C352" t="s">
        <v>42</v>
      </c>
      <c r="D352" t="s">
        <v>21</v>
      </c>
      <c r="E352" s="4">
        <v>3166.9</v>
      </c>
      <c r="F352" s="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 s="5">
        <v>0.27</v>
      </c>
      <c r="L352" t="s">
        <v>18</v>
      </c>
      <c r="M352" t="s">
        <v>22</v>
      </c>
      <c r="N352" t="s">
        <v>51</v>
      </c>
      <c r="O352" t="str">
        <f t="shared" si="15"/>
        <v>November</v>
      </c>
      <c r="P352">
        <f t="shared" si="16"/>
        <v>11</v>
      </c>
      <c r="Q352">
        <f t="shared" si="17"/>
        <v>2023</v>
      </c>
    </row>
    <row r="353" spans="1:17" x14ac:dyDescent="0.25">
      <c r="A353">
        <v>1021</v>
      </c>
      <c r="B353" s="1">
        <v>44933</v>
      </c>
      <c r="C353" t="s">
        <v>14</v>
      </c>
      <c r="D353" t="s">
        <v>15</v>
      </c>
      <c r="E353" s="4">
        <v>2971.45</v>
      </c>
      <c r="F353" s="2">
        <v>9</v>
      </c>
      <c r="G353" t="s">
        <v>16</v>
      </c>
      <c r="H353">
        <v>3365.28</v>
      </c>
      <c r="I353">
        <v>3730.43</v>
      </c>
      <c r="J353" t="s">
        <v>30</v>
      </c>
      <c r="K353" s="5">
        <v>0.17</v>
      </c>
      <c r="L353" t="s">
        <v>27</v>
      </c>
      <c r="M353" t="s">
        <v>19</v>
      </c>
      <c r="N353" t="s">
        <v>20</v>
      </c>
      <c r="O353" t="str">
        <f t="shared" si="15"/>
        <v>January</v>
      </c>
      <c r="P353">
        <f t="shared" si="16"/>
        <v>1</v>
      </c>
      <c r="Q353">
        <f t="shared" si="17"/>
        <v>2023</v>
      </c>
    </row>
    <row r="354" spans="1:17" x14ac:dyDescent="0.25">
      <c r="A354">
        <v>1030</v>
      </c>
      <c r="B354" s="1">
        <v>45256</v>
      </c>
      <c r="C354" t="s">
        <v>42</v>
      </c>
      <c r="D354" t="s">
        <v>21</v>
      </c>
      <c r="E354" s="4">
        <v>8727</v>
      </c>
      <c r="F354" s="2">
        <v>39</v>
      </c>
      <c r="G354" t="s">
        <v>35</v>
      </c>
      <c r="H354">
        <v>2041.75</v>
      </c>
      <c r="I354">
        <v>2299.37</v>
      </c>
      <c r="J354" t="s">
        <v>17</v>
      </c>
      <c r="K354" s="5">
        <v>0.24</v>
      </c>
      <c r="L354" t="s">
        <v>27</v>
      </c>
      <c r="M354" t="s">
        <v>22</v>
      </c>
      <c r="N354" t="s">
        <v>51</v>
      </c>
      <c r="O354" t="str">
        <f t="shared" si="15"/>
        <v>November</v>
      </c>
      <c r="P354">
        <f t="shared" si="16"/>
        <v>11</v>
      </c>
      <c r="Q354">
        <f t="shared" si="17"/>
        <v>2023</v>
      </c>
    </row>
    <row r="355" spans="1:17" x14ac:dyDescent="0.25">
      <c r="A355">
        <v>1097</v>
      </c>
      <c r="B355" s="1">
        <v>45189</v>
      </c>
      <c r="C355" t="s">
        <v>24</v>
      </c>
      <c r="D355" t="s">
        <v>15</v>
      </c>
      <c r="E355" s="4">
        <v>6759.76</v>
      </c>
      <c r="F355" s="2">
        <v>45</v>
      </c>
      <c r="G355" t="s">
        <v>29</v>
      </c>
      <c r="H355">
        <v>1525.13</v>
      </c>
      <c r="I355">
        <v>1868.32</v>
      </c>
      <c r="J355" t="s">
        <v>17</v>
      </c>
      <c r="K355" s="5">
        <v>0.24</v>
      </c>
      <c r="L355" t="s">
        <v>18</v>
      </c>
      <c r="M355" t="s">
        <v>22</v>
      </c>
      <c r="N355" t="s">
        <v>45</v>
      </c>
      <c r="O355" t="str">
        <f t="shared" si="15"/>
        <v>September</v>
      </c>
      <c r="P355">
        <f t="shared" si="16"/>
        <v>9</v>
      </c>
      <c r="Q355">
        <f t="shared" si="17"/>
        <v>2023</v>
      </c>
    </row>
    <row r="356" spans="1:17" x14ac:dyDescent="0.25">
      <c r="A356">
        <v>1028</v>
      </c>
      <c r="B356" s="1">
        <v>45087</v>
      </c>
      <c r="C356" t="s">
        <v>42</v>
      </c>
      <c r="D356" t="s">
        <v>15</v>
      </c>
      <c r="E356" s="4">
        <v>7987.15</v>
      </c>
      <c r="F356" s="2">
        <v>2</v>
      </c>
      <c r="G356" t="s">
        <v>16</v>
      </c>
      <c r="H356">
        <v>3146.12</v>
      </c>
      <c r="I356">
        <v>3255.5299999999902</v>
      </c>
      <c r="J356" t="s">
        <v>17</v>
      </c>
      <c r="K356" s="5">
        <v>0.06</v>
      </c>
      <c r="L356" t="s">
        <v>27</v>
      </c>
      <c r="M356" t="s">
        <v>19</v>
      </c>
      <c r="N356" t="s">
        <v>49</v>
      </c>
      <c r="O356" t="str">
        <f t="shared" si="15"/>
        <v>June</v>
      </c>
      <c r="P356">
        <f t="shared" si="16"/>
        <v>6</v>
      </c>
      <c r="Q356">
        <f t="shared" si="17"/>
        <v>2023</v>
      </c>
    </row>
    <row r="357" spans="1:17" x14ac:dyDescent="0.25">
      <c r="A357">
        <v>1064</v>
      </c>
      <c r="B357" s="1">
        <v>45077</v>
      </c>
      <c r="C357" t="s">
        <v>24</v>
      </c>
      <c r="D357" t="s">
        <v>25</v>
      </c>
      <c r="E357" s="4">
        <v>2579.63</v>
      </c>
      <c r="F357" s="2">
        <v>8</v>
      </c>
      <c r="G357" t="s">
        <v>29</v>
      </c>
      <c r="H357">
        <v>816.54</v>
      </c>
      <c r="I357">
        <v>1191.9000000000001</v>
      </c>
      <c r="J357" t="s">
        <v>30</v>
      </c>
      <c r="K357" s="5">
        <v>0.03</v>
      </c>
      <c r="L357" t="s">
        <v>18</v>
      </c>
      <c r="M357" t="s">
        <v>22</v>
      </c>
      <c r="N357" t="s">
        <v>28</v>
      </c>
      <c r="O357" t="str">
        <f t="shared" si="15"/>
        <v>May</v>
      </c>
      <c r="P357">
        <f t="shared" si="16"/>
        <v>5</v>
      </c>
      <c r="Q357">
        <f t="shared" si="17"/>
        <v>2023</v>
      </c>
    </row>
    <row r="358" spans="1:17" x14ac:dyDescent="0.25">
      <c r="A358">
        <v>1097</v>
      </c>
      <c r="B358" s="1">
        <v>45011</v>
      </c>
      <c r="C358" t="s">
        <v>24</v>
      </c>
      <c r="D358" t="s">
        <v>34</v>
      </c>
      <c r="E358" s="4">
        <v>6286.25</v>
      </c>
      <c r="F358" s="2">
        <v>7</v>
      </c>
      <c r="G358" t="s">
        <v>29</v>
      </c>
      <c r="H358">
        <v>1896.35</v>
      </c>
      <c r="I358">
        <v>2394.1999999999998</v>
      </c>
      <c r="J358" t="s">
        <v>30</v>
      </c>
      <c r="K358" s="5">
        <v>0.22</v>
      </c>
      <c r="L358" t="s">
        <v>27</v>
      </c>
      <c r="M358" t="s">
        <v>19</v>
      </c>
      <c r="N358" t="s">
        <v>50</v>
      </c>
      <c r="O358" t="str">
        <f t="shared" si="15"/>
        <v>March</v>
      </c>
      <c r="P358">
        <f t="shared" si="16"/>
        <v>3</v>
      </c>
      <c r="Q358">
        <f t="shared" si="17"/>
        <v>2023</v>
      </c>
    </row>
    <row r="359" spans="1:17" x14ac:dyDescent="0.25">
      <c r="A359">
        <v>1069</v>
      </c>
      <c r="B359" s="1">
        <v>45073</v>
      </c>
      <c r="C359" t="s">
        <v>33</v>
      </c>
      <c r="D359" t="s">
        <v>21</v>
      </c>
      <c r="E359" s="4">
        <v>5760.29</v>
      </c>
      <c r="F359" s="2">
        <v>44</v>
      </c>
      <c r="G359" t="s">
        <v>35</v>
      </c>
      <c r="H359">
        <v>1084.73</v>
      </c>
      <c r="I359">
        <v>1420.9</v>
      </c>
      <c r="J359" t="s">
        <v>17</v>
      </c>
      <c r="K359" s="5">
        <v>0.05</v>
      </c>
      <c r="L359" t="s">
        <v>31</v>
      </c>
      <c r="M359" t="s">
        <v>19</v>
      </c>
      <c r="N359" t="s">
        <v>37</v>
      </c>
      <c r="O359" t="str">
        <f t="shared" si="15"/>
        <v>May</v>
      </c>
      <c r="P359">
        <f t="shared" si="16"/>
        <v>5</v>
      </c>
      <c r="Q359">
        <f t="shared" si="17"/>
        <v>2023</v>
      </c>
    </row>
    <row r="360" spans="1:17" x14ac:dyDescent="0.25">
      <c r="A360">
        <v>1061</v>
      </c>
      <c r="B360" s="1">
        <v>45038</v>
      </c>
      <c r="C360" t="s">
        <v>38</v>
      </c>
      <c r="D360" t="s">
        <v>25</v>
      </c>
      <c r="E360" s="4">
        <v>8345.02</v>
      </c>
      <c r="F360" s="2">
        <v>39</v>
      </c>
      <c r="G360" t="s">
        <v>35</v>
      </c>
      <c r="H360">
        <v>3494.19</v>
      </c>
      <c r="I360">
        <v>3746</v>
      </c>
      <c r="J360" t="s">
        <v>17</v>
      </c>
      <c r="K360" s="5">
        <v>0.25</v>
      </c>
      <c r="L360" t="s">
        <v>27</v>
      </c>
      <c r="M360" t="s">
        <v>22</v>
      </c>
      <c r="N360" t="s">
        <v>39</v>
      </c>
      <c r="O360" t="str">
        <f t="shared" si="15"/>
        <v>April</v>
      </c>
      <c r="P360">
        <f t="shared" si="16"/>
        <v>4</v>
      </c>
      <c r="Q360">
        <f t="shared" si="17"/>
        <v>2023</v>
      </c>
    </row>
    <row r="361" spans="1:17" x14ac:dyDescent="0.25">
      <c r="A361">
        <v>1048</v>
      </c>
      <c r="B361" s="1">
        <v>44962</v>
      </c>
      <c r="C361" t="s">
        <v>24</v>
      </c>
      <c r="D361" t="s">
        <v>15</v>
      </c>
      <c r="E361" s="4">
        <v>9070.26</v>
      </c>
      <c r="F361" s="2">
        <v>42</v>
      </c>
      <c r="G361" t="s">
        <v>35</v>
      </c>
      <c r="H361">
        <v>4723.83</v>
      </c>
      <c r="I361">
        <v>5186.1899999999996</v>
      </c>
      <c r="J361" t="s">
        <v>17</v>
      </c>
      <c r="K361" s="5">
        <v>0.22</v>
      </c>
      <c r="L361" t="s">
        <v>31</v>
      </c>
      <c r="M361" t="s">
        <v>19</v>
      </c>
      <c r="N361" t="s">
        <v>45</v>
      </c>
      <c r="O361" t="str">
        <f t="shared" si="15"/>
        <v>February</v>
      </c>
      <c r="P361">
        <f t="shared" si="16"/>
        <v>2</v>
      </c>
      <c r="Q361">
        <f t="shared" si="17"/>
        <v>2023</v>
      </c>
    </row>
    <row r="362" spans="1:17" x14ac:dyDescent="0.25">
      <c r="A362">
        <v>1019</v>
      </c>
      <c r="B362" s="1">
        <v>45211</v>
      </c>
      <c r="C362" t="s">
        <v>33</v>
      </c>
      <c r="D362" t="s">
        <v>21</v>
      </c>
      <c r="E362" s="4">
        <v>220.35</v>
      </c>
      <c r="F362" s="2">
        <v>16</v>
      </c>
      <c r="G362" t="s">
        <v>29</v>
      </c>
      <c r="H362">
        <v>4977.78</v>
      </c>
      <c r="I362">
        <v>4995.55</v>
      </c>
      <c r="J362" t="s">
        <v>30</v>
      </c>
      <c r="K362" s="5">
        <v>0.25</v>
      </c>
      <c r="L362" t="s">
        <v>31</v>
      </c>
      <c r="M362" t="s">
        <v>19</v>
      </c>
      <c r="N362" t="s">
        <v>37</v>
      </c>
      <c r="O362" t="str">
        <f t="shared" si="15"/>
        <v>October</v>
      </c>
      <c r="P362">
        <f t="shared" si="16"/>
        <v>10</v>
      </c>
      <c r="Q362">
        <f t="shared" si="17"/>
        <v>2023</v>
      </c>
    </row>
    <row r="363" spans="1:17" x14ac:dyDescent="0.25">
      <c r="A363">
        <v>1004</v>
      </c>
      <c r="B363" s="1">
        <v>45114</v>
      </c>
      <c r="C363" t="s">
        <v>38</v>
      </c>
      <c r="D363" t="s">
        <v>15</v>
      </c>
      <c r="E363" s="4">
        <v>6772.8</v>
      </c>
      <c r="F363" s="2">
        <v>35</v>
      </c>
      <c r="G363" t="s">
        <v>29</v>
      </c>
      <c r="H363">
        <v>2278.87</v>
      </c>
      <c r="I363">
        <v>2646.5299999999902</v>
      </c>
      <c r="J363" t="s">
        <v>17</v>
      </c>
      <c r="K363" s="5">
        <v>0.09</v>
      </c>
      <c r="L363" t="s">
        <v>27</v>
      </c>
      <c r="M363" t="s">
        <v>19</v>
      </c>
      <c r="N363" t="s">
        <v>40</v>
      </c>
      <c r="O363" t="str">
        <f t="shared" si="15"/>
        <v>July</v>
      </c>
      <c r="P363">
        <f t="shared" si="16"/>
        <v>7</v>
      </c>
      <c r="Q363">
        <f t="shared" si="17"/>
        <v>2023</v>
      </c>
    </row>
    <row r="364" spans="1:17" x14ac:dyDescent="0.25">
      <c r="A364">
        <v>1035</v>
      </c>
      <c r="B364" s="1">
        <v>45008</v>
      </c>
      <c r="C364" t="s">
        <v>24</v>
      </c>
      <c r="D364" t="s">
        <v>34</v>
      </c>
      <c r="E364" s="4">
        <v>613.16999999999996</v>
      </c>
      <c r="F364" s="2">
        <v>30</v>
      </c>
      <c r="G364" t="s">
        <v>29</v>
      </c>
      <c r="H364">
        <v>1300.03</v>
      </c>
      <c r="I364">
        <v>1745.52</v>
      </c>
      <c r="J364" t="s">
        <v>30</v>
      </c>
      <c r="K364" s="5">
        <v>0.09</v>
      </c>
      <c r="L364" t="s">
        <v>18</v>
      </c>
      <c r="M364" t="s">
        <v>22</v>
      </c>
      <c r="N364" t="s">
        <v>50</v>
      </c>
      <c r="O364" t="str">
        <f t="shared" si="15"/>
        <v>March</v>
      </c>
      <c r="P364">
        <f t="shared" si="16"/>
        <v>3</v>
      </c>
      <c r="Q364">
        <f t="shared" si="17"/>
        <v>2023</v>
      </c>
    </row>
    <row r="365" spans="1:17" x14ac:dyDescent="0.25">
      <c r="A365">
        <v>1064</v>
      </c>
      <c r="B365" s="1">
        <v>44928</v>
      </c>
      <c r="C365" t="s">
        <v>24</v>
      </c>
      <c r="D365" t="s">
        <v>25</v>
      </c>
      <c r="E365" s="4">
        <v>5533.7</v>
      </c>
      <c r="F365" s="2">
        <v>10</v>
      </c>
      <c r="G365" t="s">
        <v>35</v>
      </c>
      <c r="H365">
        <v>2242.0100000000002</v>
      </c>
      <c r="I365">
        <v>2282.23</v>
      </c>
      <c r="J365" t="s">
        <v>17</v>
      </c>
      <c r="K365" s="5">
        <v>0.2</v>
      </c>
      <c r="L365" t="s">
        <v>31</v>
      </c>
      <c r="M365" t="s">
        <v>19</v>
      </c>
      <c r="N365" t="s">
        <v>28</v>
      </c>
      <c r="O365" t="str">
        <f t="shared" si="15"/>
        <v>January</v>
      </c>
      <c r="P365">
        <f t="shared" si="16"/>
        <v>1</v>
      </c>
      <c r="Q365">
        <f t="shared" si="17"/>
        <v>2023</v>
      </c>
    </row>
    <row r="366" spans="1:17" x14ac:dyDescent="0.25">
      <c r="A366">
        <v>1049</v>
      </c>
      <c r="B366" s="1">
        <v>45229</v>
      </c>
      <c r="C366" t="s">
        <v>42</v>
      </c>
      <c r="D366" t="s">
        <v>34</v>
      </c>
      <c r="E366" s="4">
        <v>2947.56</v>
      </c>
      <c r="F366" s="2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 s="5">
        <v>0.01</v>
      </c>
      <c r="L366" t="s">
        <v>31</v>
      </c>
      <c r="M366" t="s">
        <v>19</v>
      </c>
      <c r="N366" t="s">
        <v>52</v>
      </c>
      <c r="O366" t="str">
        <f t="shared" si="15"/>
        <v>October</v>
      </c>
      <c r="P366">
        <f t="shared" si="16"/>
        <v>10</v>
      </c>
      <c r="Q366">
        <f t="shared" si="17"/>
        <v>2023</v>
      </c>
    </row>
    <row r="367" spans="1:17" x14ac:dyDescent="0.25">
      <c r="A367">
        <v>1017</v>
      </c>
      <c r="B367" s="1">
        <v>45123</v>
      </c>
      <c r="C367" t="s">
        <v>42</v>
      </c>
      <c r="D367" t="s">
        <v>25</v>
      </c>
      <c r="E367" s="4">
        <v>3137.09</v>
      </c>
      <c r="F367" s="2">
        <v>18</v>
      </c>
      <c r="G367" t="s">
        <v>16</v>
      </c>
      <c r="H367">
        <v>1069.73</v>
      </c>
      <c r="I367">
        <v>1180.04</v>
      </c>
      <c r="J367" t="s">
        <v>17</v>
      </c>
      <c r="K367" s="5">
        <v>0.22</v>
      </c>
      <c r="L367" t="s">
        <v>27</v>
      </c>
      <c r="M367" t="s">
        <v>19</v>
      </c>
      <c r="N367" t="s">
        <v>43</v>
      </c>
      <c r="O367" t="str">
        <f t="shared" si="15"/>
        <v>July</v>
      </c>
      <c r="P367">
        <f t="shared" si="16"/>
        <v>7</v>
      </c>
      <c r="Q367">
        <f t="shared" si="17"/>
        <v>2023</v>
      </c>
    </row>
    <row r="368" spans="1:17" x14ac:dyDescent="0.25">
      <c r="A368">
        <v>1044</v>
      </c>
      <c r="B368" s="1">
        <v>44937</v>
      </c>
      <c r="C368" t="s">
        <v>38</v>
      </c>
      <c r="D368" t="s">
        <v>15</v>
      </c>
      <c r="E368" s="4">
        <v>3594.29</v>
      </c>
      <c r="F368" s="2">
        <v>5</v>
      </c>
      <c r="G368" t="s">
        <v>26</v>
      </c>
      <c r="H368">
        <v>4762.87</v>
      </c>
      <c r="I368">
        <v>5050.46</v>
      </c>
      <c r="J368" t="s">
        <v>30</v>
      </c>
      <c r="K368" s="5">
        <v>0.25</v>
      </c>
      <c r="L368" t="s">
        <v>18</v>
      </c>
      <c r="M368" t="s">
        <v>22</v>
      </c>
      <c r="N368" t="s">
        <v>40</v>
      </c>
      <c r="O368" t="str">
        <f t="shared" si="15"/>
        <v>January</v>
      </c>
      <c r="P368">
        <f t="shared" si="16"/>
        <v>1</v>
      </c>
      <c r="Q368">
        <f t="shared" si="17"/>
        <v>2023</v>
      </c>
    </row>
    <row r="369" spans="1:17" x14ac:dyDescent="0.25">
      <c r="A369">
        <v>1092</v>
      </c>
      <c r="B369" s="1">
        <v>45160</v>
      </c>
      <c r="C369" t="s">
        <v>24</v>
      </c>
      <c r="D369" t="s">
        <v>34</v>
      </c>
      <c r="E369" s="4">
        <v>6250.8</v>
      </c>
      <c r="F369" s="2">
        <v>29</v>
      </c>
      <c r="G369" t="s">
        <v>29</v>
      </c>
      <c r="H369">
        <v>1742.24</v>
      </c>
      <c r="I369">
        <v>2070.52</v>
      </c>
      <c r="J369" t="s">
        <v>30</v>
      </c>
      <c r="K369" s="5">
        <v>0.12</v>
      </c>
      <c r="L369" t="s">
        <v>18</v>
      </c>
      <c r="M369" t="s">
        <v>19</v>
      </c>
      <c r="N369" t="s">
        <v>50</v>
      </c>
      <c r="O369" t="str">
        <f t="shared" si="15"/>
        <v>August</v>
      </c>
      <c r="P369">
        <f t="shared" si="16"/>
        <v>8</v>
      </c>
      <c r="Q369">
        <f t="shared" si="17"/>
        <v>2023</v>
      </c>
    </row>
    <row r="370" spans="1:17" x14ac:dyDescent="0.25">
      <c r="A370">
        <v>1030</v>
      </c>
      <c r="B370" s="1">
        <v>45121</v>
      </c>
      <c r="C370" t="s">
        <v>14</v>
      </c>
      <c r="D370" t="s">
        <v>34</v>
      </c>
      <c r="E370" s="4">
        <v>3407.09</v>
      </c>
      <c r="F370" s="2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 s="5">
        <v>0.23</v>
      </c>
      <c r="L370" t="s">
        <v>27</v>
      </c>
      <c r="M370" t="s">
        <v>22</v>
      </c>
      <c r="N370" t="s">
        <v>46</v>
      </c>
      <c r="O370" t="str">
        <f t="shared" si="15"/>
        <v>July</v>
      </c>
      <c r="P370">
        <f t="shared" si="16"/>
        <v>7</v>
      </c>
      <c r="Q370">
        <f t="shared" si="17"/>
        <v>2023</v>
      </c>
    </row>
    <row r="371" spans="1:17" x14ac:dyDescent="0.25">
      <c r="A371">
        <v>1093</v>
      </c>
      <c r="B371" s="1">
        <v>45045</v>
      </c>
      <c r="C371" t="s">
        <v>42</v>
      </c>
      <c r="D371" t="s">
        <v>15</v>
      </c>
      <c r="E371" s="4">
        <v>7353.72</v>
      </c>
      <c r="F371" s="2">
        <v>34</v>
      </c>
      <c r="G371" t="s">
        <v>26</v>
      </c>
      <c r="H371">
        <v>4201.1099999999997</v>
      </c>
      <c r="I371">
        <v>4436.5</v>
      </c>
      <c r="J371" t="s">
        <v>30</v>
      </c>
      <c r="K371" s="5">
        <v>0.05</v>
      </c>
      <c r="L371" t="s">
        <v>18</v>
      </c>
      <c r="M371" t="s">
        <v>19</v>
      </c>
      <c r="N371" t="s">
        <v>49</v>
      </c>
      <c r="O371" t="str">
        <f t="shared" si="15"/>
        <v>April</v>
      </c>
      <c r="P371">
        <f t="shared" si="16"/>
        <v>4</v>
      </c>
      <c r="Q371">
        <f t="shared" si="17"/>
        <v>2023</v>
      </c>
    </row>
    <row r="372" spans="1:17" x14ac:dyDescent="0.25">
      <c r="A372">
        <v>1046</v>
      </c>
      <c r="B372" s="1">
        <v>44946</v>
      </c>
      <c r="C372" t="s">
        <v>38</v>
      </c>
      <c r="D372" t="s">
        <v>34</v>
      </c>
      <c r="E372" s="4">
        <v>4104.82</v>
      </c>
      <c r="F372" s="2">
        <v>43</v>
      </c>
      <c r="G372" t="s">
        <v>29</v>
      </c>
      <c r="H372">
        <v>4052.42</v>
      </c>
      <c r="I372">
        <v>4199.3</v>
      </c>
      <c r="J372" t="s">
        <v>30</v>
      </c>
      <c r="K372" s="5">
        <v>0.1</v>
      </c>
      <c r="L372" t="s">
        <v>27</v>
      </c>
      <c r="M372" t="s">
        <v>22</v>
      </c>
      <c r="N372" t="s">
        <v>48</v>
      </c>
      <c r="O372" t="str">
        <f t="shared" si="15"/>
        <v>January</v>
      </c>
      <c r="P372">
        <f t="shared" si="16"/>
        <v>1</v>
      </c>
      <c r="Q372">
        <f t="shared" si="17"/>
        <v>2023</v>
      </c>
    </row>
    <row r="373" spans="1:17" x14ac:dyDescent="0.25">
      <c r="A373">
        <v>1006</v>
      </c>
      <c r="B373" s="1">
        <v>45187</v>
      </c>
      <c r="C373" t="s">
        <v>24</v>
      </c>
      <c r="D373" t="s">
        <v>21</v>
      </c>
      <c r="E373" s="4">
        <v>776.7</v>
      </c>
      <c r="F373" s="2">
        <v>45</v>
      </c>
      <c r="G373" t="s">
        <v>16</v>
      </c>
      <c r="H373">
        <v>1623.63</v>
      </c>
      <c r="I373">
        <v>1814.63</v>
      </c>
      <c r="J373" t="s">
        <v>30</v>
      </c>
      <c r="K373" s="5">
        <v>0.28999999999999998</v>
      </c>
      <c r="L373" t="s">
        <v>27</v>
      </c>
      <c r="M373" t="s">
        <v>22</v>
      </c>
      <c r="N373" t="s">
        <v>47</v>
      </c>
      <c r="O373" t="str">
        <f t="shared" si="15"/>
        <v>September</v>
      </c>
      <c r="P373">
        <f t="shared" si="16"/>
        <v>9</v>
      </c>
      <c r="Q373">
        <f t="shared" si="17"/>
        <v>2023</v>
      </c>
    </row>
    <row r="374" spans="1:17" x14ac:dyDescent="0.25">
      <c r="A374">
        <v>1099</v>
      </c>
      <c r="B374" s="1">
        <v>45219</v>
      </c>
      <c r="C374" t="s">
        <v>24</v>
      </c>
      <c r="D374" t="s">
        <v>25</v>
      </c>
      <c r="E374" s="4">
        <v>7859.22</v>
      </c>
      <c r="F374" s="2">
        <v>23</v>
      </c>
      <c r="G374" t="s">
        <v>29</v>
      </c>
      <c r="H374">
        <v>93.45</v>
      </c>
      <c r="I374">
        <v>181.62</v>
      </c>
      <c r="J374" t="s">
        <v>17</v>
      </c>
      <c r="K374" s="5">
        <v>0.3</v>
      </c>
      <c r="L374" t="s">
        <v>27</v>
      </c>
      <c r="M374" t="s">
        <v>22</v>
      </c>
      <c r="N374" t="s">
        <v>28</v>
      </c>
      <c r="O374" t="str">
        <f t="shared" si="15"/>
        <v>October</v>
      </c>
      <c r="P374">
        <f t="shared" si="16"/>
        <v>10</v>
      </c>
      <c r="Q374">
        <f t="shared" si="17"/>
        <v>2023</v>
      </c>
    </row>
    <row r="375" spans="1:17" x14ac:dyDescent="0.25">
      <c r="A375">
        <v>1037</v>
      </c>
      <c r="B375" s="1">
        <v>45182</v>
      </c>
      <c r="C375" t="s">
        <v>14</v>
      </c>
      <c r="D375" t="s">
        <v>25</v>
      </c>
      <c r="E375" s="4">
        <v>2929.01</v>
      </c>
      <c r="F375" s="2">
        <v>5</v>
      </c>
      <c r="G375" t="s">
        <v>16</v>
      </c>
      <c r="H375">
        <v>1941.56</v>
      </c>
      <c r="I375">
        <v>2385.48</v>
      </c>
      <c r="J375" t="s">
        <v>17</v>
      </c>
      <c r="K375" s="5">
        <v>0.15</v>
      </c>
      <c r="L375" t="s">
        <v>31</v>
      </c>
      <c r="M375" t="s">
        <v>19</v>
      </c>
      <c r="N375" t="s">
        <v>32</v>
      </c>
      <c r="O375" t="str">
        <f t="shared" si="15"/>
        <v>September</v>
      </c>
      <c r="P375">
        <f t="shared" si="16"/>
        <v>9</v>
      </c>
      <c r="Q375">
        <f t="shared" si="17"/>
        <v>2023</v>
      </c>
    </row>
    <row r="376" spans="1:17" x14ac:dyDescent="0.25">
      <c r="A376">
        <v>1024</v>
      </c>
      <c r="B376" s="1">
        <v>45148</v>
      </c>
      <c r="C376" t="s">
        <v>38</v>
      </c>
      <c r="D376" t="s">
        <v>25</v>
      </c>
      <c r="E376" s="4">
        <v>4384.3900000000003</v>
      </c>
      <c r="F376" s="2">
        <v>30</v>
      </c>
      <c r="G376" t="s">
        <v>26</v>
      </c>
      <c r="H376">
        <v>1543.96</v>
      </c>
      <c r="I376">
        <v>1558.87</v>
      </c>
      <c r="J376" t="s">
        <v>17</v>
      </c>
      <c r="K376" s="5">
        <v>0.28000000000000003</v>
      </c>
      <c r="L376" t="s">
        <v>31</v>
      </c>
      <c r="M376" t="s">
        <v>19</v>
      </c>
      <c r="N376" t="s">
        <v>39</v>
      </c>
      <c r="O376" t="str">
        <f t="shared" si="15"/>
        <v>August</v>
      </c>
      <c r="P376">
        <f t="shared" si="16"/>
        <v>8</v>
      </c>
      <c r="Q376">
        <f t="shared" si="17"/>
        <v>2023</v>
      </c>
    </row>
    <row r="377" spans="1:17" x14ac:dyDescent="0.25">
      <c r="A377">
        <v>1093</v>
      </c>
      <c r="B377" s="1">
        <v>45152</v>
      </c>
      <c r="C377" t="s">
        <v>24</v>
      </c>
      <c r="D377" t="s">
        <v>21</v>
      </c>
      <c r="E377" s="4">
        <v>6885.89</v>
      </c>
      <c r="F377" s="2">
        <v>6</v>
      </c>
      <c r="G377" t="s">
        <v>26</v>
      </c>
      <c r="H377">
        <v>235.12</v>
      </c>
      <c r="I377">
        <v>677.5</v>
      </c>
      <c r="J377" t="s">
        <v>17</v>
      </c>
      <c r="K377" s="5">
        <v>0.16</v>
      </c>
      <c r="L377" t="s">
        <v>31</v>
      </c>
      <c r="M377" t="s">
        <v>19</v>
      </c>
      <c r="N377" t="s">
        <v>47</v>
      </c>
      <c r="O377" t="str">
        <f t="shared" si="15"/>
        <v>August</v>
      </c>
      <c r="P377">
        <f t="shared" si="16"/>
        <v>8</v>
      </c>
      <c r="Q377">
        <f t="shared" si="17"/>
        <v>2023</v>
      </c>
    </row>
    <row r="378" spans="1:17" x14ac:dyDescent="0.25">
      <c r="A378">
        <v>1046</v>
      </c>
      <c r="B378" s="1">
        <v>44979</v>
      </c>
      <c r="C378" t="s">
        <v>42</v>
      </c>
      <c r="D378" t="s">
        <v>25</v>
      </c>
      <c r="E378" s="4">
        <v>3391.32</v>
      </c>
      <c r="F378" s="2">
        <v>46</v>
      </c>
      <c r="G378" t="s">
        <v>29</v>
      </c>
      <c r="H378">
        <v>2551.56</v>
      </c>
      <c r="I378">
        <v>2841.68</v>
      </c>
      <c r="J378" t="s">
        <v>30</v>
      </c>
      <c r="K378" s="5">
        <v>0.09</v>
      </c>
      <c r="L378" t="s">
        <v>27</v>
      </c>
      <c r="M378" t="s">
        <v>22</v>
      </c>
      <c r="N378" t="s">
        <v>43</v>
      </c>
      <c r="O378" t="str">
        <f t="shared" si="15"/>
        <v>February</v>
      </c>
      <c r="P378">
        <f t="shared" si="16"/>
        <v>2</v>
      </c>
      <c r="Q378">
        <f t="shared" si="17"/>
        <v>2023</v>
      </c>
    </row>
    <row r="379" spans="1:17" x14ac:dyDescent="0.25">
      <c r="A379">
        <v>1053</v>
      </c>
      <c r="B379" s="1">
        <v>45281</v>
      </c>
      <c r="C379" t="s">
        <v>14</v>
      </c>
      <c r="D379" t="s">
        <v>15</v>
      </c>
      <c r="E379" s="4">
        <v>660.2</v>
      </c>
      <c r="F379" s="2">
        <v>44</v>
      </c>
      <c r="G379" t="s">
        <v>16</v>
      </c>
      <c r="H379">
        <v>2045</v>
      </c>
      <c r="I379">
        <v>2217.5100000000002</v>
      </c>
      <c r="J379" t="s">
        <v>17</v>
      </c>
      <c r="K379" s="5">
        <v>0.08</v>
      </c>
      <c r="L379" t="s">
        <v>31</v>
      </c>
      <c r="M379" t="s">
        <v>19</v>
      </c>
      <c r="N379" t="s">
        <v>20</v>
      </c>
      <c r="O379" t="str">
        <f t="shared" si="15"/>
        <v>December</v>
      </c>
      <c r="P379">
        <f t="shared" si="16"/>
        <v>12</v>
      </c>
      <c r="Q379">
        <f t="shared" si="17"/>
        <v>2023</v>
      </c>
    </row>
    <row r="380" spans="1:17" x14ac:dyDescent="0.25">
      <c r="A380">
        <v>1095</v>
      </c>
      <c r="B380" s="1">
        <v>45268</v>
      </c>
      <c r="C380" t="s">
        <v>38</v>
      </c>
      <c r="D380" t="s">
        <v>34</v>
      </c>
      <c r="E380" s="4">
        <v>3801.82</v>
      </c>
      <c r="F380" s="2">
        <v>4</v>
      </c>
      <c r="G380" t="s">
        <v>29</v>
      </c>
      <c r="H380">
        <v>3191.05</v>
      </c>
      <c r="I380">
        <v>3555.35</v>
      </c>
      <c r="J380" t="s">
        <v>30</v>
      </c>
      <c r="K380" s="5">
        <v>0.28000000000000003</v>
      </c>
      <c r="L380" t="s">
        <v>31</v>
      </c>
      <c r="M380" t="s">
        <v>19</v>
      </c>
      <c r="N380" t="s">
        <v>48</v>
      </c>
      <c r="O380" t="str">
        <f t="shared" si="15"/>
        <v>December</v>
      </c>
      <c r="P380">
        <f t="shared" si="16"/>
        <v>12</v>
      </c>
      <c r="Q380">
        <f t="shared" si="17"/>
        <v>2023</v>
      </c>
    </row>
    <row r="381" spans="1:17" x14ac:dyDescent="0.25">
      <c r="A381">
        <v>1099</v>
      </c>
      <c r="B381" s="1">
        <v>45290</v>
      </c>
      <c r="C381" t="s">
        <v>14</v>
      </c>
      <c r="D381" t="s">
        <v>21</v>
      </c>
      <c r="E381" s="4">
        <v>9450.0400000000009</v>
      </c>
      <c r="F381" s="2">
        <v>29</v>
      </c>
      <c r="G381" t="s">
        <v>35</v>
      </c>
      <c r="H381">
        <v>3124.87</v>
      </c>
      <c r="I381">
        <v>3383.67</v>
      </c>
      <c r="J381" t="s">
        <v>30</v>
      </c>
      <c r="K381" s="5">
        <v>0.05</v>
      </c>
      <c r="L381" t="s">
        <v>31</v>
      </c>
      <c r="M381" t="s">
        <v>22</v>
      </c>
      <c r="N381" t="s">
        <v>23</v>
      </c>
      <c r="O381" t="str">
        <f t="shared" si="15"/>
        <v>December</v>
      </c>
      <c r="P381">
        <f t="shared" si="16"/>
        <v>12</v>
      </c>
      <c r="Q381">
        <f t="shared" si="17"/>
        <v>2023</v>
      </c>
    </row>
    <row r="382" spans="1:17" x14ac:dyDescent="0.25">
      <c r="A382">
        <v>1060</v>
      </c>
      <c r="B382" s="1">
        <v>45206</v>
      </c>
      <c r="C382" t="s">
        <v>42</v>
      </c>
      <c r="D382" t="s">
        <v>25</v>
      </c>
      <c r="E382" s="4">
        <v>6453.17</v>
      </c>
      <c r="F382" s="2">
        <v>23</v>
      </c>
      <c r="G382" t="s">
        <v>35</v>
      </c>
      <c r="H382">
        <v>647.70000000000005</v>
      </c>
      <c r="I382">
        <v>902.26</v>
      </c>
      <c r="J382" t="s">
        <v>30</v>
      </c>
      <c r="K382" s="5">
        <v>0.17</v>
      </c>
      <c r="L382" t="s">
        <v>27</v>
      </c>
      <c r="M382" t="s">
        <v>19</v>
      </c>
      <c r="N382" t="s">
        <v>43</v>
      </c>
      <c r="O382" t="str">
        <f t="shared" si="15"/>
        <v>October</v>
      </c>
      <c r="P382">
        <f t="shared" si="16"/>
        <v>10</v>
      </c>
      <c r="Q382">
        <f t="shared" si="17"/>
        <v>2023</v>
      </c>
    </row>
    <row r="383" spans="1:17" x14ac:dyDescent="0.25">
      <c r="A383">
        <v>1097</v>
      </c>
      <c r="B383" s="1">
        <v>45007</v>
      </c>
      <c r="C383" t="s">
        <v>38</v>
      </c>
      <c r="D383" t="s">
        <v>15</v>
      </c>
      <c r="E383" s="4">
        <v>6747.64</v>
      </c>
      <c r="F383" s="2">
        <v>6</v>
      </c>
      <c r="G383" t="s">
        <v>35</v>
      </c>
      <c r="H383">
        <v>4885.9799999999996</v>
      </c>
      <c r="I383">
        <v>4949.95</v>
      </c>
      <c r="J383" t="s">
        <v>17</v>
      </c>
      <c r="K383" s="5">
        <v>0.17</v>
      </c>
      <c r="L383" t="s">
        <v>27</v>
      </c>
      <c r="M383" t="s">
        <v>19</v>
      </c>
      <c r="N383" t="s">
        <v>40</v>
      </c>
      <c r="O383" t="str">
        <f t="shared" si="15"/>
        <v>March</v>
      </c>
      <c r="P383">
        <f t="shared" si="16"/>
        <v>3</v>
      </c>
      <c r="Q383">
        <f t="shared" si="17"/>
        <v>2023</v>
      </c>
    </row>
    <row r="384" spans="1:17" x14ac:dyDescent="0.25">
      <c r="A384">
        <v>1063</v>
      </c>
      <c r="B384" s="1">
        <v>45128</v>
      </c>
      <c r="C384" t="s">
        <v>14</v>
      </c>
      <c r="D384" t="s">
        <v>34</v>
      </c>
      <c r="E384" s="4">
        <v>6359.59</v>
      </c>
      <c r="F384" s="2">
        <v>32</v>
      </c>
      <c r="G384" t="s">
        <v>35</v>
      </c>
      <c r="H384">
        <v>975.31</v>
      </c>
      <c r="I384">
        <v>1176.17</v>
      </c>
      <c r="J384" t="s">
        <v>30</v>
      </c>
      <c r="K384" s="5">
        <v>0.22</v>
      </c>
      <c r="L384" t="s">
        <v>27</v>
      </c>
      <c r="M384" t="s">
        <v>22</v>
      </c>
      <c r="N384" t="s">
        <v>46</v>
      </c>
      <c r="O384" t="str">
        <f t="shared" si="15"/>
        <v>July</v>
      </c>
      <c r="P384">
        <f t="shared" si="16"/>
        <v>7</v>
      </c>
      <c r="Q384">
        <f t="shared" si="17"/>
        <v>2023</v>
      </c>
    </row>
    <row r="385" spans="1:17" x14ac:dyDescent="0.25">
      <c r="A385">
        <v>1085</v>
      </c>
      <c r="B385" s="1">
        <v>45084</v>
      </c>
      <c r="C385" t="s">
        <v>33</v>
      </c>
      <c r="D385" t="s">
        <v>34</v>
      </c>
      <c r="E385" s="4">
        <v>2070.02</v>
      </c>
      <c r="F385" s="2">
        <v>42</v>
      </c>
      <c r="G385" t="s">
        <v>29</v>
      </c>
      <c r="H385">
        <v>2254.11</v>
      </c>
      <c r="I385">
        <v>2382.23</v>
      </c>
      <c r="J385" t="s">
        <v>17</v>
      </c>
      <c r="K385" s="5">
        <v>0.15</v>
      </c>
      <c r="L385" t="s">
        <v>31</v>
      </c>
      <c r="M385" t="s">
        <v>22</v>
      </c>
      <c r="N385" t="s">
        <v>36</v>
      </c>
      <c r="O385" t="str">
        <f t="shared" si="15"/>
        <v>June</v>
      </c>
      <c r="P385">
        <f t="shared" si="16"/>
        <v>6</v>
      </c>
      <c r="Q385">
        <f t="shared" si="17"/>
        <v>2023</v>
      </c>
    </row>
    <row r="386" spans="1:17" x14ac:dyDescent="0.25">
      <c r="A386">
        <v>1032</v>
      </c>
      <c r="B386" s="1">
        <v>45046</v>
      </c>
      <c r="C386" t="s">
        <v>42</v>
      </c>
      <c r="D386" t="s">
        <v>21</v>
      </c>
      <c r="E386" s="4">
        <v>4241.51</v>
      </c>
      <c r="F386" s="2">
        <v>18</v>
      </c>
      <c r="G386" t="s">
        <v>35</v>
      </c>
      <c r="H386">
        <v>2466.1799999999998</v>
      </c>
      <c r="I386">
        <v>2483.87</v>
      </c>
      <c r="J386" t="s">
        <v>17</v>
      </c>
      <c r="K386" s="5">
        <v>0.08</v>
      </c>
      <c r="L386" t="s">
        <v>18</v>
      </c>
      <c r="M386" t="s">
        <v>19</v>
      </c>
      <c r="N386" t="s">
        <v>51</v>
      </c>
      <c r="O386" t="str">
        <f t="shared" ref="O386:O449" si="18">TEXT(B386,"mmmm")</f>
        <v>April</v>
      </c>
      <c r="P386">
        <f t="shared" ref="P386:P449" si="19">MONTH(B386)</f>
        <v>4</v>
      </c>
      <c r="Q386">
        <f t="shared" ref="Q386:Q449" si="20">YEAR(B386)</f>
        <v>2023</v>
      </c>
    </row>
    <row r="387" spans="1:17" x14ac:dyDescent="0.25">
      <c r="A387">
        <v>1087</v>
      </c>
      <c r="B387" s="1">
        <v>44985</v>
      </c>
      <c r="C387" t="s">
        <v>42</v>
      </c>
      <c r="D387" t="s">
        <v>21</v>
      </c>
      <c r="E387" s="4">
        <v>7534.3</v>
      </c>
      <c r="F387" s="2">
        <v>15</v>
      </c>
      <c r="G387" t="s">
        <v>16</v>
      </c>
      <c r="H387">
        <v>4074.66</v>
      </c>
      <c r="I387">
        <v>4261.1099999999997</v>
      </c>
      <c r="J387" t="s">
        <v>17</v>
      </c>
      <c r="K387" s="5">
        <v>0.05</v>
      </c>
      <c r="L387" t="s">
        <v>31</v>
      </c>
      <c r="M387" t="s">
        <v>22</v>
      </c>
      <c r="N387" t="s">
        <v>51</v>
      </c>
      <c r="O387" t="str">
        <f t="shared" si="18"/>
        <v>February</v>
      </c>
      <c r="P387">
        <f t="shared" si="19"/>
        <v>2</v>
      </c>
      <c r="Q387">
        <f t="shared" si="20"/>
        <v>2023</v>
      </c>
    </row>
    <row r="388" spans="1:17" x14ac:dyDescent="0.25">
      <c r="A388">
        <v>1033</v>
      </c>
      <c r="B388" s="1">
        <v>45141</v>
      </c>
      <c r="C388" t="s">
        <v>42</v>
      </c>
      <c r="D388" t="s">
        <v>21</v>
      </c>
      <c r="E388" s="4">
        <v>1103.5899999999999</v>
      </c>
      <c r="F388" s="2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 s="5">
        <v>0.19</v>
      </c>
      <c r="L388" t="s">
        <v>31</v>
      </c>
      <c r="M388" t="s">
        <v>19</v>
      </c>
      <c r="N388" t="s">
        <v>51</v>
      </c>
      <c r="O388" t="str">
        <f t="shared" si="18"/>
        <v>August</v>
      </c>
      <c r="P388">
        <f t="shared" si="19"/>
        <v>8</v>
      </c>
      <c r="Q388">
        <f t="shared" si="20"/>
        <v>2023</v>
      </c>
    </row>
    <row r="389" spans="1:17" x14ac:dyDescent="0.25">
      <c r="A389">
        <v>1067</v>
      </c>
      <c r="B389" s="1">
        <v>45054</v>
      </c>
      <c r="C389" t="s">
        <v>33</v>
      </c>
      <c r="D389" t="s">
        <v>15</v>
      </c>
      <c r="E389" s="4">
        <v>2850.74</v>
      </c>
      <c r="F389" s="2">
        <v>32</v>
      </c>
      <c r="G389" t="s">
        <v>26</v>
      </c>
      <c r="H389">
        <v>2171.79</v>
      </c>
      <c r="I389">
        <v>2307.64</v>
      </c>
      <c r="J389" t="s">
        <v>17</v>
      </c>
      <c r="K389" s="5">
        <v>0.22</v>
      </c>
      <c r="L389" t="s">
        <v>27</v>
      </c>
      <c r="M389" t="s">
        <v>19</v>
      </c>
      <c r="N389" t="s">
        <v>53</v>
      </c>
      <c r="O389" t="str">
        <f t="shared" si="18"/>
        <v>May</v>
      </c>
      <c r="P389">
        <f t="shared" si="19"/>
        <v>5</v>
      </c>
      <c r="Q389">
        <f t="shared" si="20"/>
        <v>2023</v>
      </c>
    </row>
    <row r="390" spans="1:17" x14ac:dyDescent="0.25">
      <c r="A390">
        <v>1018</v>
      </c>
      <c r="B390" s="1">
        <v>45150</v>
      </c>
      <c r="C390" t="s">
        <v>33</v>
      </c>
      <c r="D390" t="s">
        <v>15</v>
      </c>
      <c r="E390" s="4">
        <v>2835.56</v>
      </c>
      <c r="F390" s="2">
        <v>9</v>
      </c>
      <c r="G390" t="s">
        <v>35</v>
      </c>
      <c r="H390">
        <v>3161.09</v>
      </c>
      <c r="I390">
        <v>3216.42</v>
      </c>
      <c r="J390" t="s">
        <v>30</v>
      </c>
      <c r="K390" s="5">
        <v>0.17</v>
      </c>
      <c r="L390" t="s">
        <v>27</v>
      </c>
      <c r="M390" t="s">
        <v>19</v>
      </c>
      <c r="N390" t="s">
        <v>53</v>
      </c>
      <c r="O390" t="str">
        <f t="shared" si="18"/>
        <v>August</v>
      </c>
      <c r="P390">
        <f t="shared" si="19"/>
        <v>8</v>
      </c>
      <c r="Q390">
        <f t="shared" si="20"/>
        <v>2023</v>
      </c>
    </row>
    <row r="391" spans="1:17" x14ac:dyDescent="0.25">
      <c r="A391">
        <v>1025</v>
      </c>
      <c r="B391" s="1">
        <v>45135</v>
      </c>
      <c r="C391" t="s">
        <v>24</v>
      </c>
      <c r="D391" t="s">
        <v>21</v>
      </c>
      <c r="E391" s="4">
        <v>4376.99</v>
      </c>
      <c r="F391" s="2">
        <v>37</v>
      </c>
      <c r="G391" t="s">
        <v>35</v>
      </c>
      <c r="H391">
        <v>1115.02</v>
      </c>
      <c r="I391">
        <v>1174.48</v>
      </c>
      <c r="J391" t="s">
        <v>30</v>
      </c>
      <c r="K391" s="5">
        <v>0.22</v>
      </c>
      <c r="L391" t="s">
        <v>31</v>
      </c>
      <c r="M391" t="s">
        <v>19</v>
      </c>
      <c r="N391" t="s">
        <v>47</v>
      </c>
      <c r="O391" t="str">
        <f t="shared" si="18"/>
        <v>July</v>
      </c>
      <c r="P391">
        <f t="shared" si="19"/>
        <v>7</v>
      </c>
      <c r="Q391">
        <f t="shared" si="20"/>
        <v>2023</v>
      </c>
    </row>
    <row r="392" spans="1:17" x14ac:dyDescent="0.25">
      <c r="A392">
        <v>1095</v>
      </c>
      <c r="B392" s="1">
        <v>45041</v>
      </c>
      <c r="C392" t="s">
        <v>14</v>
      </c>
      <c r="D392" t="s">
        <v>25</v>
      </c>
      <c r="E392" s="4">
        <v>9805.65</v>
      </c>
      <c r="F392" s="2">
        <v>10</v>
      </c>
      <c r="G392" t="s">
        <v>35</v>
      </c>
      <c r="H392">
        <v>3155.97</v>
      </c>
      <c r="I392">
        <v>3263.49</v>
      </c>
      <c r="J392" t="s">
        <v>17</v>
      </c>
      <c r="K392" s="5">
        <v>0.04</v>
      </c>
      <c r="L392" t="s">
        <v>31</v>
      </c>
      <c r="M392" t="s">
        <v>19</v>
      </c>
      <c r="N392" t="s">
        <v>32</v>
      </c>
      <c r="O392" t="str">
        <f t="shared" si="18"/>
        <v>April</v>
      </c>
      <c r="P392">
        <f t="shared" si="19"/>
        <v>4</v>
      </c>
      <c r="Q392">
        <f t="shared" si="20"/>
        <v>2023</v>
      </c>
    </row>
    <row r="393" spans="1:17" x14ac:dyDescent="0.25">
      <c r="A393">
        <v>1054</v>
      </c>
      <c r="B393" s="1">
        <v>45135</v>
      </c>
      <c r="C393" t="s">
        <v>24</v>
      </c>
      <c r="D393" t="s">
        <v>34</v>
      </c>
      <c r="E393" s="4">
        <v>768.28</v>
      </c>
      <c r="F393" s="2">
        <v>20</v>
      </c>
      <c r="G393" t="s">
        <v>29</v>
      </c>
      <c r="H393">
        <v>4622.1400000000003</v>
      </c>
      <c r="I393">
        <v>5122.07</v>
      </c>
      <c r="J393" t="s">
        <v>30</v>
      </c>
      <c r="K393" s="5">
        <v>0.26</v>
      </c>
      <c r="L393" t="s">
        <v>18</v>
      </c>
      <c r="M393" t="s">
        <v>22</v>
      </c>
      <c r="N393" t="s">
        <v>50</v>
      </c>
      <c r="O393" t="str">
        <f t="shared" si="18"/>
        <v>July</v>
      </c>
      <c r="P393">
        <f t="shared" si="19"/>
        <v>7</v>
      </c>
      <c r="Q393">
        <f t="shared" si="20"/>
        <v>2023</v>
      </c>
    </row>
    <row r="394" spans="1:17" x14ac:dyDescent="0.25">
      <c r="A394">
        <v>1058</v>
      </c>
      <c r="B394" s="1">
        <v>44940</v>
      </c>
      <c r="C394" t="s">
        <v>14</v>
      </c>
      <c r="D394" t="s">
        <v>34</v>
      </c>
      <c r="E394" s="4">
        <v>5235.1400000000003</v>
      </c>
      <c r="F394" s="2">
        <v>6</v>
      </c>
      <c r="G394" t="s">
        <v>26</v>
      </c>
      <c r="H394">
        <v>4987.71</v>
      </c>
      <c r="I394">
        <v>4998.78</v>
      </c>
      <c r="J394" t="s">
        <v>17</v>
      </c>
      <c r="K394" s="5">
        <v>0.17</v>
      </c>
      <c r="L394" t="s">
        <v>18</v>
      </c>
      <c r="M394" t="s">
        <v>22</v>
      </c>
      <c r="N394" t="s">
        <v>46</v>
      </c>
      <c r="O394" t="str">
        <f t="shared" si="18"/>
        <v>January</v>
      </c>
      <c r="P394">
        <f t="shared" si="19"/>
        <v>1</v>
      </c>
      <c r="Q394">
        <f t="shared" si="20"/>
        <v>2023</v>
      </c>
    </row>
    <row r="395" spans="1:17" x14ac:dyDescent="0.25">
      <c r="A395">
        <v>1067</v>
      </c>
      <c r="B395" s="1">
        <v>44935</v>
      </c>
      <c r="C395" t="s">
        <v>33</v>
      </c>
      <c r="D395" t="s">
        <v>15</v>
      </c>
      <c r="E395" s="4">
        <v>1875.71</v>
      </c>
      <c r="F395" s="2">
        <v>48</v>
      </c>
      <c r="G395" t="s">
        <v>35</v>
      </c>
      <c r="H395">
        <v>210.63</v>
      </c>
      <c r="I395">
        <v>533.57999999999902</v>
      </c>
      <c r="J395" t="s">
        <v>30</v>
      </c>
      <c r="K395" s="5">
        <v>0.04</v>
      </c>
      <c r="L395" t="s">
        <v>27</v>
      </c>
      <c r="M395" t="s">
        <v>19</v>
      </c>
      <c r="N395" t="s">
        <v>53</v>
      </c>
      <c r="O395" t="str">
        <f t="shared" si="18"/>
        <v>January</v>
      </c>
      <c r="P395">
        <f t="shared" si="19"/>
        <v>1</v>
      </c>
      <c r="Q395">
        <f t="shared" si="20"/>
        <v>2023</v>
      </c>
    </row>
    <row r="396" spans="1:17" x14ac:dyDescent="0.25">
      <c r="A396">
        <v>1046</v>
      </c>
      <c r="B396" s="1">
        <v>44966</v>
      </c>
      <c r="C396" t="s">
        <v>33</v>
      </c>
      <c r="D396" t="s">
        <v>34</v>
      </c>
      <c r="E396" s="4">
        <v>9709.7000000000007</v>
      </c>
      <c r="F396" s="2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 s="5">
        <v>0.14000000000000001</v>
      </c>
      <c r="L396" t="s">
        <v>18</v>
      </c>
      <c r="M396" t="s">
        <v>22</v>
      </c>
      <c r="N396" t="s">
        <v>36</v>
      </c>
      <c r="O396" t="str">
        <f t="shared" si="18"/>
        <v>February</v>
      </c>
      <c r="P396">
        <f t="shared" si="19"/>
        <v>2</v>
      </c>
      <c r="Q396">
        <f t="shared" si="20"/>
        <v>2023</v>
      </c>
    </row>
    <row r="397" spans="1:17" x14ac:dyDescent="0.25">
      <c r="A397">
        <v>1024</v>
      </c>
      <c r="B397" s="1">
        <v>45163</v>
      </c>
      <c r="C397" t="s">
        <v>24</v>
      </c>
      <c r="D397" t="s">
        <v>25</v>
      </c>
      <c r="E397" s="4">
        <v>1221.7</v>
      </c>
      <c r="F397" s="2">
        <v>42</v>
      </c>
      <c r="G397" t="s">
        <v>35</v>
      </c>
      <c r="H397">
        <v>1586.02</v>
      </c>
      <c r="I397">
        <v>2047.13</v>
      </c>
      <c r="J397" t="s">
        <v>30</v>
      </c>
      <c r="K397" s="5">
        <v>0.25</v>
      </c>
      <c r="L397" t="s">
        <v>18</v>
      </c>
      <c r="M397" t="s">
        <v>22</v>
      </c>
      <c r="N397" t="s">
        <v>28</v>
      </c>
      <c r="O397" t="str">
        <f t="shared" si="18"/>
        <v>August</v>
      </c>
      <c r="P397">
        <f t="shared" si="19"/>
        <v>8</v>
      </c>
      <c r="Q397">
        <f t="shared" si="20"/>
        <v>2023</v>
      </c>
    </row>
    <row r="398" spans="1:17" x14ac:dyDescent="0.25">
      <c r="A398">
        <v>1032</v>
      </c>
      <c r="B398" s="1">
        <v>45207</v>
      </c>
      <c r="C398" t="s">
        <v>38</v>
      </c>
      <c r="D398" t="s">
        <v>34</v>
      </c>
      <c r="E398" s="4">
        <v>4095.65</v>
      </c>
      <c r="F398" s="2">
        <v>11</v>
      </c>
      <c r="G398" t="s">
        <v>26</v>
      </c>
      <c r="H398">
        <v>2025.67</v>
      </c>
      <c r="I398">
        <v>2081.5500000000002</v>
      </c>
      <c r="J398" t="s">
        <v>30</v>
      </c>
      <c r="K398" s="5">
        <v>0.27</v>
      </c>
      <c r="L398" t="s">
        <v>27</v>
      </c>
      <c r="M398" t="s">
        <v>19</v>
      </c>
      <c r="N398" t="s">
        <v>48</v>
      </c>
      <c r="O398" t="str">
        <f t="shared" si="18"/>
        <v>October</v>
      </c>
      <c r="P398">
        <f t="shared" si="19"/>
        <v>10</v>
      </c>
      <c r="Q398">
        <f t="shared" si="20"/>
        <v>2023</v>
      </c>
    </row>
    <row r="399" spans="1:17" x14ac:dyDescent="0.25">
      <c r="A399">
        <v>1047</v>
      </c>
      <c r="B399" s="1">
        <v>45285</v>
      </c>
      <c r="C399" t="s">
        <v>24</v>
      </c>
      <c r="D399" t="s">
        <v>15</v>
      </c>
      <c r="E399" s="4">
        <v>7405.06</v>
      </c>
      <c r="F399" s="2">
        <v>43</v>
      </c>
      <c r="G399" t="s">
        <v>35</v>
      </c>
      <c r="H399">
        <v>1249.17</v>
      </c>
      <c r="I399">
        <v>1727.15</v>
      </c>
      <c r="J399" t="s">
        <v>30</v>
      </c>
      <c r="K399" s="5">
        <v>0.08</v>
      </c>
      <c r="L399" t="s">
        <v>18</v>
      </c>
      <c r="M399" t="s">
        <v>22</v>
      </c>
      <c r="N399" t="s">
        <v>45</v>
      </c>
      <c r="O399" t="str">
        <f t="shared" si="18"/>
        <v>December</v>
      </c>
      <c r="P399">
        <f t="shared" si="19"/>
        <v>12</v>
      </c>
      <c r="Q399">
        <f t="shared" si="20"/>
        <v>2023</v>
      </c>
    </row>
    <row r="400" spans="1:17" x14ac:dyDescent="0.25">
      <c r="A400">
        <v>1086</v>
      </c>
      <c r="B400" s="1">
        <v>45127</v>
      </c>
      <c r="C400" t="s">
        <v>14</v>
      </c>
      <c r="D400" t="s">
        <v>15</v>
      </c>
      <c r="E400" s="4">
        <v>7075.09</v>
      </c>
      <c r="F400" s="2">
        <v>17</v>
      </c>
      <c r="G400" t="s">
        <v>26</v>
      </c>
      <c r="H400">
        <v>1057.27</v>
      </c>
      <c r="I400">
        <v>1366.62</v>
      </c>
      <c r="J400" t="s">
        <v>30</v>
      </c>
      <c r="K400" s="5">
        <v>0.21</v>
      </c>
      <c r="L400" t="s">
        <v>31</v>
      </c>
      <c r="M400" t="s">
        <v>22</v>
      </c>
      <c r="N400" t="s">
        <v>20</v>
      </c>
      <c r="O400" t="str">
        <f t="shared" si="18"/>
        <v>July</v>
      </c>
      <c r="P400">
        <f t="shared" si="19"/>
        <v>7</v>
      </c>
      <c r="Q400">
        <f t="shared" si="20"/>
        <v>2023</v>
      </c>
    </row>
    <row r="401" spans="1:17" x14ac:dyDescent="0.25">
      <c r="A401">
        <v>1023</v>
      </c>
      <c r="B401" s="1">
        <v>45172</v>
      </c>
      <c r="C401" t="s">
        <v>24</v>
      </c>
      <c r="D401" t="s">
        <v>25</v>
      </c>
      <c r="E401" s="4">
        <v>4285.01</v>
      </c>
      <c r="F401" s="2">
        <v>32</v>
      </c>
      <c r="G401" t="s">
        <v>35</v>
      </c>
      <c r="H401">
        <v>4775.04</v>
      </c>
      <c r="I401">
        <v>4785.66</v>
      </c>
      <c r="J401" t="s">
        <v>30</v>
      </c>
      <c r="K401" s="5">
        <v>0.03</v>
      </c>
      <c r="L401" t="s">
        <v>18</v>
      </c>
      <c r="M401" t="s">
        <v>19</v>
      </c>
      <c r="N401" t="s">
        <v>28</v>
      </c>
      <c r="O401" t="str">
        <f t="shared" si="18"/>
        <v>September</v>
      </c>
      <c r="P401">
        <f t="shared" si="19"/>
        <v>9</v>
      </c>
      <c r="Q401">
        <f t="shared" si="20"/>
        <v>2023</v>
      </c>
    </row>
    <row r="402" spans="1:17" x14ac:dyDescent="0.25">
      <c r="A402">
        <v>1066</v>
      </c>
      <c r="B402" s="1">
        <v>45204</v>
      </c>
      <c r="C402" t="s">
        <v>42</v>
      </c>
      <c r="D402" t="s">
        <v>25</v>
      </c>
      <c r="E402" s="4">
        <v>3530.59</v>
      </c>
      <c r="F402" s="2">
        <v>4</v>
      </c>
      <c r="G402" t="s">
        <v>16</v>
      </c>
      <c r="H402">
        <v>4596.68</v>
      </c>
      <c r="I402">
        <v>5044.74</v>
      </c>
      <c r="J402" t="s">
        <v>30</v>
      </c>
      <c r="K402" s="5">
        <v>0.01</v>
      </c>
      <c r="L402" t="s">
        <v>27</v>
      </c>
      <c r="M402" t="s">
        <v>19</v>
      </c>
      <c r="N402" t="s">
        <v>43</v>
      </c>
      <c r="O402" t="str">
        <f t="shared" si="18"/>
        <v>October</v>
      </c>
      <c r="P402">
        <f t="shared" si="19"/>
        <v>10</v>
      </c>
      <c r="Q402">
        <f t="shared" si="20"/>
        <v>2023</v>
      </c>
    </row>
    <row r="403" spans="1:17" x14ac:dyDescent="0.25">
      <c r="A403">
        <v>1027</v>
      </c>
      <c r="B403" s="1">
        <v>45161</v>
      </c>
      <c r="C403" t="s">
        <v>14</v>
      </c>
      <c r="D403" t="s">
        <v>34</v>
      </c>
      <c r="E403" s="4">
        <v>4036.36</v>
      </c>
      <c r="F403" s="2">
        <v>4</v>
      </c>
      <c r="G403" t="s">
        <v>35</v>
      </c>
      <c r="H403">
        <v>282.61</v>
      </c>
      <c r="I403">
        <v>548.25</v>
      </c>
      <c r="J403" t="s">
        <v>30</v>
      </c>
      <c r="K403" s="5">
        <v>0.17</v>
      </c>
      <c r="L403" t="s">
        <v>31</v>
      </c>
      <c r="M403" t="s">
        <v>19</v>
      </c>
      <c r="N403" t="s">
        <v>46</v>
      </c>
      <c r="O403" t="str">
        <f t="shared" si="18"/>
        <v>August</v>
      </c>
      <c r="P403">
        <f t="shared" si="19"/>
        <v>8</v>
      </c>
      <c r="Q403">
        <f t="shared" si="20"/>
        <v>2023</v>
      </c>
    </row>
    <row r="404" spans="1:17" x14ac:dyDescent="0.25">
      <c r="A404">
        <v>1002</v>
      </c>
      <c r="B404" s="1">
        <v>44930</v>
      </c>
      <c r="C404" t="s">
        <v>14</v>
      </c>
      <c r="D404" t="s">
        <v>34</v>
      </c>
      <c r="E404" s="4">
        <v>2716.34</v>
      </c>
      <c r="F404" s="2">
        <v>17</v>
      </c>
      <c r="G404" t="s">
        <v>16</v>
      </c>
      <c r="H404">
        <v>1727.12</v>
      </c>
      <c r="I404">
        <v>1865.83</v>
      </c>
      <c r="J404" t="s">
        <v>30</v>
      </c>
      <c r="K404" s="5">
        <v>0.21</v>
      </c>
      <c r="L404" t="s">
        <v>18</v>
      </c>
      <c r="M404" t="s">
        <v>19</v>
      </c>
      <c r="N404" t="s">
        <v>46</v>
      </c>
      <c r="O404" t="str">
        <f t="shared" si="18"/>
        <v>January</v>
      </c>
      <c r="P404">
        <f t="shared" si="19"/>
        <v>1</v>
      </c>
      <c r="Q404">
        <f t="shared" si="20"/>
        <v>2023</v>
      </c>
    </row>
    <row r="405" spans="1:17" x14ac:dyDescent="0.25">
      <c r="A405">
        <v>1090</v>
      </c>
      <c r="B405" s="1">
        <v>45080</v>
      </c>
      <c r="C405" t="s">
        <v>38</v>
      </c>
      <c r="D405" t="s">
        <v>15</v>
      </c>
      <c r="E405" s="4">
        <v>2132.8000000000002</v>
      </c>
      <c r="F405" s="2">
        <v>41</v>
      </c>
      <c r="G405" t="s">
        <v>16</v>
      </c>
      <c r="H405">
        <v>2055.4899999999998</v>
      </c>
      <c r="I405">
        <v>2441.46</v>
      </c>
      <c r="J405" t="s">
        <v>30</v>
      </c>
      <c r="K405" s="5">
        <v>0.24</v>
      </c>
      <c r="L405" t="s">
        <v>31</v>
      </c>
      <c r="M405" t="s">
        <v>19</v>
      </c>
      <c r="N405" t="s">
        <v>40</v>
      </c>
      <c r="O405" t="str">
        <f t="shared" si="18"/>
        <v>June</v>
      </c>
      <c r="P405">
        <f t="shared" si="19"/>
        <v>6</v>
      </c>
      <c r="Q405">
        <f t="shared" si="20"/>
        <v>2023</v>
      </c>
    </row>
    <row r="406" spans="1:17" x14ac:dyDescent="0.25">
      <c r="A406">
        <v>1017</v>
      </c>
      <c r="B406" s="1">
        <v>44955</v>
      </c>
      <c r="C406" t="s">
        <v>33</v>
      </c>
      <c r="D406" t="s">
        <v>25</v>
      </c>
      <c r="E406" s="4">
        <v>4882.09</v>
      </c>
      <c r="F406" s="2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 s="5">
        <v>0.1</v>
      </c>
      <c r="L406" t="s">
        <v>31</v>
      </c>
      <c r="M406" t="s">
        <v>19</v>
      </c>
      <c r="N406" t="s">
        <v>44</v>
      </c>
      <c r="O406" t="str">
        <f t="shared" si="18"/>
        <v>January</v>
      </c>
      <c r="P406">
        <f t="shared" si="19"/>
        <v>1</v>
      </c>
      <c r="Q406">
        <f t="shared" si="20"/>
        <v>2023</v>
      </c>
    </row>
    <row r="407" spans="1:17" x14ac:dyDescent="0.25">
      <c r="A407">
        <v>1033</v>
      </c>
      <c r="B407" s="1">
        <v>45035</v>
      </c>
      <c r="C407" t="s">
        <v>14</v>
      </c>
      <c r="D407" t="s">
        <v>25</v>
      </c>
      <c r="E407" s="4">
        <v>2758.48</v>
      </c>
      <c r="F407" s="2">
        <v>5</v>
      </c>
      <c r="G407" t="s">
        <v>16</v>
      </c>
      <c r="H407">
        <v>3162.92</v>
      </c>
      <c r="I407">
        <v>3409.93</v>
      </c>
      <c r="J407" t="s">
        <v>30</v>
      </c>
      <c r="K407" s="5">
        <v>0</v>
      </c>
      <c r="L407" t="s">
        <v>18</v>
      </c>
      <c r="M407" t="s">
        <v>19</v>
      </c>
      <c r="N407" t="s">
        <v>32</v>
      </c>
      <c r="O407" t="str">
        <f t="shared" si="18"/>
        <v>April</v>
      </c>
      <c r="P407">
        <f t="shared" si="19"/>
        <v>4</v>
      </c>
      <c r="Q407">
        <f t="shared" si="20"/>
        <v>2023</v>
      </c>
    </row>
    <row r="408" spans="1:17" x14ac:dyDescent="0.25">
      <c r="A408">
        <v>1009</v>
      </c>
      <c r="B408" s="1">
        <v>45024</v>
      </c>
      <c r="C408" t="s">
        <v>33</v>
      </c>
      <c r="D408" t="s">
        <v>25</v>
      </c>
      <c r="E408" s="4">
        <v>2945.87</v>
      </c>
      <c r="F408" s="2">
        <v>32</v>
      </c>
      <c r="G408" t="s">
        <v>29</v>
      </c>
      <c r="H408">
        <v>3219.88</v>
      </c>
      <c r="I408">
        <v>3384.5</v>
      </c>
      <c r="J408" t="s">
        <v>17</v>
      </c>
      <c r="K408" s="5">
        <v>0.14000000000000001</v>
      </c>
      <c r="L408" t="s">
        <v>18</v>
      </c>
      <c r="M408" t="s">
        <v>22</v>
      </c>
      <c r="N408" t="s">
        <v>44</v>
      </c>
      <c r="O408" t="str">
        <f t="shared" si="18"/>
        <v>April</v>
      </c>
      <c r="P408">
        <f t="shared" si="19"/>
        <v>4</v>
      </c>
      <c r="Q408">
        <f t="shared" si="20"/>
        <v>2023</v>
      </c>
    </row>
    <row r="409" spans="1:17" x14ac:dyDescent="0.25">
      <c r="A409">
        <v>1043</v>
      </c>
      <c r="B409" s="1">
        <v>45141</v>
      </c>
      <c r="C409" t="s">
        <v>24</v>
      </c>
      <c r="D409" t="s">
        <v>34</v>
      </c>
      <c r="E409" s="4">
        <v>6601.89</v>
      </c>
      <c r="F409" s="2">
        <v>22</v>
      </c>
      <c r="G409" t="s">
        <v>35</v>
      </c>
      <c r="H409">
        <v>4260</v>
      </c>
      <c r="I409">
        <v>4656.58</v>
      </c>
      <c r="J409" t="s">
        <v>30</v>
      </c>
      <c r="K409" s="5">
        <v>0</v>
      </c>
      <c r="L409" t="s">
        <v>27</v>
      </c>
      <c r="M409" t="s">
        <v>19</v>
      </c>
      <c r="N409" t="s">
        <v>50</v>
      </c>
      <c r="O409" t="str">
        <f t="shared" si="18"/>
        <v>August</v>
      </c>
      <c r="P409">
        <f t="shared" si="19"/>
        <v>8</v>
      </c>
      <c r="Q409">
        <f t="shared" si="20"/>
        <v>2023</v>
      </c>
    </row>
    <row r="410" spans="1:17" x14ac:dyDescent="0.25">
      <c r="A410">
        <v>1048</v>
      </c>
      <c r="B410" s="1">
        <v>45219</v>
      </c>
      <c r="C410" t="s">
        <v>42</v>
      </c>
      <c r="D410" t="s">
        <v>25</v>
      </c>
      <c r="E410" s="4">
        <v>9688.52</v>
      </c>
      <c r="F410" s="2">
        <v>6</v>
      </c>
      <c r="G410" t="s">
        <v>35</v>
      </c>
      <c r="H410">
        <v>3717.3</v>
      </c>
      <c r="I410">
        <v>4061.37</v>
      </c>
      <c r="J410" t="s">
        <v>30</v>
      </c>
      <c r="K410" s="5">
        <v>0.03</v>
      </c>
      <c r="L410" t="s">
        <v>27</v>
      </c>
      <c r="M410" t="s">
        <v>22</v>
      </c>
      <c r="N410" t="s">
        <v>43</v>
      </c>
      <c r="O410" t="str">
        <f t="shared" si="18"/>
        <v>October</v>
      </c>
      <c r="P410">
        <f t="shared" si="19"/>
        <v>10</v>
      </c>
      <c r="Q410">
        <f t="shared" si="20"/>
        <v>2023</v>
      </c>
    </row>
    <row r="411" spans="1:17" x14ac:dyDescent="0.25">
      <c r="A411">
        <v>1039</v>
      </c>
      <c r="B411" s="1">
        <v>45001</v>
      </c>
      <c r="C411" t="s">
        <v>38</v>
      </c>
      <c r="D411" t="s">
        <v>15</v>
      </c>
      <c r="E411" s="4">
        <v>6076.01</v>
      </c>
      <c r="F411" s="2">
        <v>35</v>
      </c>
      <c r="G411" t="s">
        <v>16</v>
      </c>
      <c r="H411">
        <v>2735.74</v>
      </c>
      <c r="I411">
        <v>3181.22999999999</v>
      </c>
      <c r="J411" t="s">
        <v>30</v>
      </c>
      <c r="K411" s="5">
        <v>0.1</v>
      </c>
      <c r="L411" t="s">
        <v>31</v>
      </c>
      <c r="M411" t="s">
        <v>22</v>
      </c>
      <c r="N411" t="s">
        <v>40</v>
      </c>
      <c r="O411" t="str">
        <f t="shared" si="18"/>
        <v>March</v>
      </c>
      <c r="P411">
        <f t="shared" si="19"/>
        <v>3</v>
      </c>
      <c r="Q411">
        <f t="shared" si="20"/>
        <v>2023</v>
      </c>
    </row>
    <row r="412" spans="1:17" x14ac:dyDescent="0.25">
      <c r="A412">
        <v>1093</v>
      </c>
      <c r="B412" s="1">
        <v>45252</v>
      </c>
      <c r="C412" t="s">
        <v>33</v>
      </c>
      <c r="D412" t="s">
        <v>15</v>
      </c>
      <c r="E412" s="4">
        <v>862.1</v>
      </c>
      <c r="F412" s="2">
        <v>22</v>
      </c>
      <c r="G412" t="s">
        <v>16</v>
      </c>
      <c r="H412">
        <v>3285.25</v>
      </c>
      <c r="I412">
        <v>3634.58</v>
      </c>
      <c r="J412" t="s">
        <v>30</v>
      </c>
      <c r="K412" s="5">
        <v>0.13</v>
      </c>
      <c r="L412" t="s">
        <v>27</v>
      </c>
      <c r="M412" t="s">
        <v>19</v>
      </c>
      <c r="N412" t="s">
        <v>53</v>
      </c>
      <c r="O412" t="str">
        <f t="shared" si="18"/>
        <v>November</v>
      </c>
      <c r="P412">
        <f t="shared" si="19"/>
        <v>11</v>
      </c>
      <c r="Q412">
        <f t="shared" si="20"/>
        <v>2023</v>
      </c>
    </row>
    <row r="413" spans="1:17" x14ac:dyDescent="0.25">
      <c r="A413">
        <v>1042</v>
      </c>
      <c r="B413" s="1">
        <v>45072</v>
      </c>
      <c r="C413" t="s">
        <v>14</v>
      </c>
      <c r="D413" t="s">
        <v>34</v>
      </c>
      <c r="E413" s="4">
        <v>848.28</v>
      </c>
      <c r="F413" s="2">
        <v>1</v>
      </c>
      <c r="G413" t="s">
        <v>35</v>
      </c>
      <c r="H413">
        <v>1406.24</v>
      </c>
      <c r="I413">
        <v>1535.57</v>
      </c>
      <c r="J413" t="s">
        <v>30</v>
      </c>
      <c r="K413" s="5">
        <v>0.08</v>
      </c>
      <c r="L413" t="s">
        <v>31</v>
      </c>
      <c r="M413" t="s">
        <v>22</v>
      </c>
      <c r="N413" t="s">
        <v>46</v>
      </c>
      <c r="O413" t="str">
        <f t="shared" si="18"/>
        <v>May</v>
      </c>
      <c r="P413">
        <f t="shared" si="19"/>
        <v>5</v>
      </c>
      <c r="Q413">
        <f t="shared" si="20"/>
        <v>2023</v>
      </c>
    </row>
    <row r="414" spans="1:17" x14ac:dyDescent="0.25">
      <c r="A414">
        <v>1026</v>
      </c>
      <c r="B414" s="1">
        <v>45054</v>
      </c>
      <c r="C414" t="s">
        <v>33</v>
      </c>
      <c r="D414" t="s">
        <v>21</v>
      </c>
      <c r="E414" s="4">
        <v>9519.09</v>
      </c>
      <c r="F414" s="2">
        <v>20</v>
      </c>
      <c r="G414" t="s">
        <v>29</v>
      </c>
      <c r="H414">
        <v>2985.63</v>
      </c>
      <c r="I414">
        <v>3452.14</v>
      </c>
      <c r="J414" t="s">
        <v>30</v>
      </c>
      <c r="K414" s="5">
        <v>0.17</v>
      </c>
      <c r="L414" t="s">
        <v>31</v>
      </c>
      <c r="M414" t="s">
        <v>22</v>
      </c>
      <c r="N414" t="s">
        <v>37</v>
      </c>
      <c r="O414" t="str">
        <f t="shared" si="18"/>
        <v>May</v>
      </c>
      <c r="P414">
        <f t="shared" si="19"/>
        <v>5</v>
      </c>
      <c r="Q414">
        <f t="shared" si="20"/>
        <v>2023</v>
      </c>
    </row>
    <row r="415" spans="1:17" x14ac:dyDescent="0.25">
      <c r="A415">
        <v>1099</v>
      </c>
      <c r="B415" s="1">
        <v>45267</v>
      </c>
      <c r="C415" t="s">
        <v>14</v>
      </c>
      <c r="D415" t="s">
        <v>34</v>
      </c>
      <c r="E415" s="4">
        <v>3043.18</v>
      </c>
      <c r="F415" s="2">
        <v>22</v>
      </c>
      <c r="G415" t="s">
        <v>16</v>
      </c>
      <c r="H415">
        <v>2471.67</v>
      </c>
      <c r="I415">
        <v>2533.04</v>
      </c>
      <c r="J415" t="s">
        <v>17</v>
      </c>
      <c r="K415" s="5">
        <v>0.02</v>
      </c>
      <c r="L415" t="s">
        <v>27</v>
      </c>
      <c r="M415" t="s">
        <v>22</v>
      </c>
      <c r="N415" t="s">
        <v>46</v>
      </c>
      <c r="O415" t="str">
        <f t="shared" si="18"/>
        <v>December</v>
      </c>
      <c r="P415">
        <f t="shared" si="19"/>
        <v>12</v>
      </c>
      <c r="Q415">
        <f t="shared" si="20"/>
        <v>2023</v>
      </c>
    </row>
    <row r="416" spans="1:17" x14ac:dyDescent="0.25">
      <c r="A416">
        <v>1050</v>
      </c>
      <c r="B416" s="1">
        <v>44968</v>
      </c>
      <c r="C416" t="s">
        <v>33</v>
      </c>
      <c r="D416" t="s">
        <v>21</v>
      </c>
      <c r="E416" s="4">
        <v>1011.46</v>
      </c>
      <c r="F416" s="2">
        <v>48</v>
      </c>
      <c r="G416" t="s">
        <v>16</v>
      </c>
      <c r="H416">
        <v>710.06</v>
      </c>
      <c r="I416">
        <v>851.349999999999</v>
      </c>
      <c r="J416" t="s">
        <v>17</v>
      </c>
      <c r="K416" s="5">
        <v>0.04</v>
      </c>
      <c r="L416" t="s">
        <v>27</v>
      </c>
      <c r="M416" t="s">
        <v>19</v>
      </c>
      <c r="N416" t="s">
        <v>37</v>
      </c>
      <c r="O416" t="str">
        <f t="shared" si="18"/>
        <v>February</v>
      </c>
      <c r="P416">
        <f t="shared" si="19"/>
        <v>2</v>
      </c>
      <c r="Q416">
        <f t="shared" si="20"/>
        <v>2023</v>
      </c>
    </row>
    <row r="417" spans="1:17" x14ac:dyDescent="0.25">
      <c r="A417">
        <v>1025</v>
      </c>
      <c r="B417" s="1">
        <v>45282</v>
      </c>
      <c r="C417" t="s">
        <v>14</v>
      </c>
      <c r="D417" t="s">
        <v>25</v>
      </c>
      <c r="E417" s="4">
        <v>6030.54</v>
      </c>
      <c r="F417" s="2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 s="5">
        <v>0.21</v>
      </c>
      <c r="L417" t="s">
        <v>27</v>
      </c>
      <c r="M417" t="s">
        <v>22</v>
      </c>
      <c r="N417" t="s">
        <v>32</v>
      </c>
      <c r="O417" t="str">
        <f t="shared" si="18"/>
        <v>December</v>
      </c>
      <c r="P417">
        <f t="shared" si="19"/>
        <v>12</v>
      </c>
      <c r="Q417">
        <f t="shared" si="20"/>
        <v>2023</v>
      </c>
    </row>
    <row r="418" spans="1:17" x14ac:dyDescent="0.25">
      <c r="A418">
        <v>1024</v>
      </c>
      <c r="B418" s="1">
        <v>44967</v>
      </c>
      <c r="C418" t="s">
        <v>24</v>
      </c>
      <c r="D418" t="s">
        <v>34</v>
      </c>
      <c r="E418" s="4">
        <v>6274.12</v>
      </c>
      <c r="F418" s="2">
        <v>13</v>
      </c>
      <c r="G418" t="s">
        <v>29</v>
      </c>
      <c r="H418">
        <v>1493.88</v>
      </c>
      <c r="I418">
        <v>1781.09</v>
      </c>
      <c r="J418" t="s">
        <v>30</v>
      </c>
      <c r="K418" s="5">
        <v>0.04</v>
      </c>
      <c r="L418" t="s">
        <v>18</v>
      </c>
      <c r="M418" t="s">
        <v>22</v>
      </c>
      <c r="N418" t="s">
        <v>50</v>
      </c>
      <c r="O418" t="str">
        <f t="shared" si="18"/>
        <v>February</v>
      </c>
      <c r="P418">
        <f t="shared" si="19"/>
        <v>2</v>
      </c>
      <c r="Q418">
        <f t="shared" si="20"/>
        <v>2023</v>
      </c>
    </row>
    <row r="419" spans="1:17" x14ac:dyDescent="0.25">
      <c r="A419">
        <v>1013</v>
      </c>
      <c r="B419" s="1">
        <v>44960</v>
      </c>
      <c r="C419" t="s">
        <v>14</v>
      </c>
      <c r="D419" t="s">
        <v>15</v>
      </c>
      <c r="E419" s="4">
        <v>6520.2</v>
      </c>
      <c r="F419" s="2">
        <v>42</v>
      </c>
      <c r="G419" t="s">
        <v>29</v>
      </c>
      <c r="H419">
        <v>4625.33</v>
      </c>
      <c r="I419">
        <v>4642.83</v>
      </c>
      <c r="J419" t="s">
        <v>30</v>
      </c>
      <c r="K419" s="5">
        <v>0.19</v>
      </c>
      <c r="L419" t="s">
        <v>31</v>
      </c>
      <c r="M419" t="s">
        <v>19</v>
      </c>
      <c r="N419" t="s">
        <v>20</v>
      </c>
      <c r="O419" t="str">
        <f t="shared" si="18"/>
        <v>February</v>
      </c>
      <c r="P419">
        <f t="shared" si="19"/>
        <v>2</v>
      </c>
      <c r="Q419">
        <f t="shared" si="20"/>
        <v>2023</v>
      </c>
    </row>
    <row r="420" spans="1:17" x14ac:dyDescent="0.25">
      <c r="A420">
        <v>1060</v>
      </c>
      <c r="B420" s="1">
        <v>44943</v>
      </c>
      <c r="C420" t="s">
        <v>14</v>
      </c>
      <c r="D420" t="s">
        <v>25</v>
      </c>
      <c r="E420" s="4">
        <v>2747.28</v>
      </c>
      <c r="F420" s="2">
        <v>3</v>
      </c>
      <c r="G420" t="s">
        <v>35</v>
      </c>
      <c r="H420">
        <v>1190.4100000000001</v>
      </c>
      <c r="I420">
        <v>1582.89</v>
      </c>
      <c r="J420" t="s">
        <v>30</v>
      </c>
      <c r="K420" s="5">
        <v>0.02</v>
      </c>
      <c r="L420" t="s">
        <v>31</v>
      </c>
      <c r="M420" t="s">
        <v>22</v>
      </c>
      <c r="N420" t="s">
        <v>32</v>
      </c>
      <c r="O420" t="str">
        <f t="shared" si="18"/>
        <v>January</v>
      </c>
      <c r="P420">
        <f t="shared" si="19"/>
        <v>1</v>
      </c>
      <c r="Q420">
        <f t="shared" si="20"/>
        <v>2023</v>
      </c>
    </row>
    <row r="421" spans="1:17" x14ac:dyDescent="0.25">
      <c r="A421">
        <v>1007</v>
      </c>
      <c r="B421" s="1">
        <v>45091</v>
      </c>
      <c r="C421" t="s">
        <v>42</v>
      </c>
      <c r="D421" t="s">
        <v>15</v>
      </c>
      <c r="E421" s="4">
        <v>249.6</v>
      </c>
      <c r="F421" s="2">
        <v>9</v>
      </c>
      <c r="G421" t="s">
        <v>29</v>
      </c>
      <c r="H421">
        <v>1481.76</v>
      </c>
      <c r="I421">
        <v>1668.95</v>
      </c>
      <c r="J421" t="s">
        <v>17</v>
      </c>
      <c r="K421" s="5">
        <v>0.12</v>
      </c>
      <c r="L421" t="s">
        <v>31</v>
      </c>
      <c r="M421" t="s">
        <v>22</v>
      </c>
      <c r="N421" t="s">
        <v>49</v>
      </c>
      <c r="O421" t="str">
        <f t="shared" si="18"/>
        <v>June</v>
      </c>
      <c r="P421">
        <f t="shared" si="19"/>
        <v>6</v>
      </c>
      <c r="Q421">
        <f t="shared" si="20"/>
        <v>2023</v>
      </c>
    </row>
    <row r="422" spans="1:17" x14ac:dyDescent="0.25">
      <c r="A422">
        <v>1057</v>
      </c>
      <c r="B422" s="1">
        <v>45079</v>
      </c>
      <c r="C422" t="s">
        <v>14</v>
      </c>
      <c r="D422" t="s">
        <v>25</v>
      </c>
      <c r="E422" s="4">
        <v>9653.65</v>
      </c>
      <c r="F422" s="2">
        <v>12</v>
      </c>
      <c r="G422" t="s">
        <v>35</v>
      </c>
      <c r="H422">
        <v>1878.3</v>
      </c>
      <c r="I422">
        <v>2087.4499999999998</v>
      </c>
      <c r="J422" t="s">
        <v>30</v>
      </c>
      <c r="K422" s="5">
        <v>0.05</v>
      </c>
      <c r="L422" t="s">
        <v>27</v>
      </c>
      <c r="M422" t="s">
        <v>22</v>
      </c>
      <c r="N422" t="s">
        <v>32</v>
      </c>
      <c r="O422" t="str">
        <f t="shared" si="18"/>
        <v>June</v>
      </c>
      <c r="P422">
        <f t="shared" si="19"/>
        <v>6</v>
      </c>
      <c r="Q422">
        <f t="shared" si="20"/>
        <v>2023</v>
      </c>
    </row>
    <row r="423" spans="1:17" x14ac:dyDescent="0.25">
      <c r="A423">
        <v>1036</v>
      </c>
      <c r="B423" s="1">
        <v>45002</v>
      </c>
      <c r="C423" t="s">
        <v>42</v>
      </c>
      <c r="D423" t="s">
        <v>34</v>
      </c>
      <c r="E423" s="4">
        <v>2583.84</v>
      </c>
      <c r="F423" s="2">
        <v>23</v>
      </c>
      <c r="G423" t="s">
        <v>26</v>
      </c>
      <c r="H423">
        <v>3335.53</v>
      </c>
      <c r="I423">
        <v>3742.12</v>
      </c>
      <c r="J423" t="s">
        <v>30</v>
      </c>
      <c r="K423" s="5">
        <v>0.03</v>
      </c>
      <c r="L423" t="s">
        <v>27</v>
      </c>
      <c r="M423" t="s">
        <v>22</v>
      </c>
      <c r="N423" t="s">
        <v>52</v>
      </c>
      <c r="O423" t="str">
        <f t="shared" si="18"/>
        <v>March</v>
      </c>
      <c r="P423">
        <f t="shared" si="19"/>
        <v>3</v>
      </c>
      <c r="Q423">
        <f t="shared" si="20"/>
        <v>2023</v>
      </c>
    </row>
    <row r="424" spans="1:17" x14ac:dyDescent="0.25">
      <c r="A424">
        <v>1045</v>
      </c>
      <c r="B424" s="1">
        <v>45013</v>
      </c>
      <c r="C424" t="s">
        <v>38</v>
      </c>
      <c r="D424" t="s">
        <v>21</v>
      </c>
      <c r="E424" s="4">
        <v>6792.66</v>
      </c>
      <c r="F424" s="2">
        <v>14</v>
      </c>
      <c r="G424" t="s">
        <v>29</v>
      </c>
      <c r="H424">
        <v>635.28</v>
      </c>
      <c r="I424">
        <v>831.13</v>
      </c>
      <c r="J424" t="s">
        <v>17</v>
      </c>
      <c r="K424" s="5">
        <v>0.17</v>
      </c>
      <c r="L424" t="s">
        <v>27</v>
      </c>
      <c r="M424" t="s">
        <v>22</v>
      </c>
      <c r="N424" t="s">
        <v>41</v>
      </c>
      <c r="O424" t="str">
        <f t="shared" si="18"/>
        <v>March</v>
      </c>
      <c r="P424">
        <f t="shared" si="19"/>
        <v>3</v>
      </c>
      <c r="Q424">
        <f t="shared" si="20"/>
        <v>2023</v>
      </c>
    </row>
    <row r="425" spans="1:17" x14ac:dyDescent="0.25">
      <c r="A425">
        <v>1020</v>
      </c>
      <c r="B425" s="1">
        <v>45043</v>
      </c>
      <c r="C425" t="s">
        <v>42</v>
      </c>
      <c r="D425" t="s">
        <v>25</v>
      </c>
      <c r="E425" s="4">
        <v>7095.64</v>
      </c>
      <c r="F425" s="2">
        <v>33</v>
      </c>
      <c r="G425" t="s">
        <v>16</v>
      </c>
      <c r="H425">
        <v>4772.03</v>
      </c>
      <c r="I425">
        <v>4805.17</v>
      </c>
      <c r="J425" t="s">
        <v>17</v>
      </c>
      <c r="K425" s="5">
        <v>0.28000000000000003</v>
      </c>
      <c r="L425" t="s">
        <v>27</v>
      </c>
      <c r="M425" t="s">
        <v>19</v>
      </c>
      <c r="N425" t="s">
        <v>43</v>
      </c>
      <c r="O425" t="str">
        <f t="shared" si="18"/>
        <v>April</v>
      </c>
      <c r="P425">
        <f t="shared" si="19"/>
        <v>4</v>
      </c>
      <c r="Q425">
        <f t="shared" si="20"/>
        <v>2023</v>
      </c>
    </row>
    <row r="426" spans="1:17" x14ac:dyDescent="0.25">
      <c r="A426">
        <v>1065</v>
      </c>
      <c r="B426" s="1">
        <v>45288</v>
      </c>
      <c r="C426" t="s">
        <v>24</v>
      </c>
      <c r="D426" t="s">
        <v>21</v>
      </c>
      <c r="E426" s="4">
        <v>6139.07</v>
      </c>
      <c r="F426" s="2">
        <v>18</v>
      </c>
      <c r="G426" t="s">
        <v>26</v>
      </c>
      <c r="H426">
        <v>4334.58</v>
      </c>
      <c r="I426">
        <v>4431.04</v>
      </c>
      <c r="J426" t="s">
        <v>30</v>
      </c>
      <c r="K426" s="5">
        <v>0.02</v>
      </c>
      <c r="L426" t="s">
        <v>27</v>
      </c>
      <c r="M426" t="s">
        <v>22</v>
      </c>
      <c r="N426" t="s">
        <v>47</v>
      </c>
      <c r="O426" t="str">
        <f t="shared" si="18"/>
        <v>December</v>
      </c>
      <c r="P426">
        <f t="shared" si="19"/>
        <v>12</v>
      </c>
      <c r="Q426">
        <f t="shared" si="20"/>
        <v>2023</v>
      </c>
    </row>
    <row r="427" spans="1:17" x14ac:dyDescent="0.25">
      <c r="A427">
        <v>1008</v>
      </c>
      <c r="B427" s="1">
        <v>45268</v>
      </c>
      <c r="C427" t="s">
        <v>42</v>
      </c>
      <c r="D427" t="s">
        <v>25</v>
      </c>
      <c r="E427" s="4">
        <v>3197.78</v>
      </c>
      <c r="F427" s="2">
        <v>49</v>
      </c>
      <c r="G427" t="s">
        <v>35</v>
      </c>
      <c r="H427">
        <v>2907.22</v>
      </c>
      <c r="I427">
        <v>3385.6099999999901</v>
      </c>
      <c r="J427" t="s">
        <v>30</v>
      </c>
      <c r="K427" s="5">
        <v>0.13</v>
      </c>
      <c r="L427" t="s">
        <v>18</v>
      </c>
      <c r="M427" t="s">
        <v>19</v>
      </c>
      <c r="N427" t="s">
        <v>43</v>
      </c>
      <c r="O427" t="str">
        <f t="shared" si="18"/>
        <v>December</v>
      </c>
      <c r="P427">
        <f t="shared" si="19"/>
        <v>12</v>
      </c>
      <c r="Q427">
        <f t="shared" si="20"/>
        <v>2023</v>
      </c>
    </row>
    <row r="428" spans="1:17" x14ac:dyDescent="0.25">
      <c r="A428">
        <v>1016</v>
      </c>
      <c r="B428" s="1">
        <v>44953</v>
      </c>
      <c r="C428" t="s">
        <v>38</v>
      </c>
      <c r="D428" t="s">
        <v>15</v>
      </c>
      <c r="E428" s="4">
        <v>2783.85</v>
      </c>
      <c r="F428" s="2">
        <v>41</v>
      </c>
      <c r="G428" t="s">
        <v>26</v>
      </c>
      <c r="H428">
        <v>3386.49</v>
      </c>
      <c r="I428">
        <v>3430.99</v>
      </c>
      <c r="J428" t="s">
        <v>30</v>
      </c>
      <c r="K428" s="5">
        <v>0.21</v>
      </c>
      <c r="L428" t="s">
        <v>27</v>
      </c>
      <c r="M428" t="s">
        <v>22</v>
      </c>
      <c r="N428" t="s">
        <v>40</v>
      </c>
      <c r="O428" t="str">
        <f t="shared" si="18"/>
        <v>January</v>
      </c>
      <c r="P428">
        <f t="shared" si="19"/>
        <v>1</v>
      </c>
      <c r="Q428">
        <f t="shared" si="20"/>
        <v>2023</v>
      </c>
    </row>
    <row r="429" spans="1:17" x14ac:dyDescent="0.25">
      <c r="A429">
        <v>1014</v>
      </c>
      <c r="B429" s="1">
        <v>45239</v>
      </c>
      <c r="C429" t="s">
        <v>24</v>
      </c>
      <c r="D429" t="s">
        <v>15</v>
      </c>
      <c r="E429" s="4">
        <v>6016.92</v>
      </c>
      <c r="F429" s="2">
        <v>9</v>
      </c>
      <c r="G429" t="s">
        <v>35</v>
      </c>
      <c r="H429">
        <v>132.47</v>
      </c>
      <c r="I429">
        <v>316.39</v>
      </c>
      <c r="J429" t="s">
        <v>30</v>
      </c>
      <c r="K429" s="5">
        <v>0.14000000000000001</v>
      </c>
      <c r="L429" t="s">
        <v>31</v>
      </c>
      <c r="M429" t="s">
        <v>19</v>
      </c>
      <c r="N429" t="s">
        <v>45</v>
      </c>
      <c r="O429" t="str">
        <f t="shared" si="18"/>
        <v>November</v>
      </c>
      <c r="P429">
        <f t="shared" si="19"/>
        <v>11</v>
      </c>
      <c r="Q429">
        <f t="shared" si="20"/>
        <v>2023</v>
      </c>
    </row>
    <row r="430" spans="1:17" x14ac:dyDescent="0.25">
      <c r="A430">
        <v>1076</v>
      </c>
      <c r="B430" s="1">
        <v>45213</v>
      </c>
      <c r="C430" t="s">
        <v>33</v>
      </c>
      <c r="D430" t="s">
        <v>25</v>
      </c>
      <c r="E430" s="4">
        <v>8674.35</v>
      </c>
      <c r="F430" s="2">
        <v>23</v>
      </c>
      <c r="G430" t="s">
        <v>26</v>
      </c>
      <c r="H430">
        <v>1727.78</v>
      </c>
      <c r="I430">
        <v>1984.34</v>
      </c>
      <c r="J430" t="s">
        <v>17</v>
      </c>
      <c r="K430" s="5">
        <v>0.24</v>
      </c>
      <c r="L430" t="s">
        <v>27</v>
      </c>
      <c r="M430" t="s">
        <v>19</v>
      </c>
      <c r="N430" t="s">
        <v>44</v>
      </c>
      <c r="O430" t="str">
        <f t="shared" si="18"/>
        <v>October</v>
      </c>
      <c r="P430">
        <f t="shared" si="19"/>
        <v>10</v>
      </c>
      <c r="Q430">
        <f t="shared" si="20"/>
        <v>2023</v>
      </c>
    </row>
    <row r="431" spans="1:17" x14ac:dyDescent="0.25">
      <c r="A431">
        <v>1087</v>
      </c>
      <c r="B431" s="1">
        <v>45060</v>
      </c>
      <c r="C431" t="s">
        <v>33</v>
      </c>
      <c r="D431" t="s">
        <v>21</v>
      </c>
      <c r="E431" s="4">
        <v>9472.66</v>
      </c>
      <c r="F431" s="2">
        <v>10</v>
      </c>
      <c r="G431" t="s">
        <v>35</v>
      </c>
      <c r="H431">
        <v>3988.52</v>
      </c>
      <c r="I431">
        <v>4240.2299999999996</v>
      </c>
      <c r="J431" t="s">
        <v>30</v>
      </c>
      <c r="K431" s="5">
        <v>0.05</v>
      </c>
      <c r="L431" t="s">
        <v>31</v>
      </c>
      <c r="M431" t="s">
        <v>19</v>
      </c>
      <c r="N431" t="s">
        <v>37</v>
      </c>
      <c r="O431" t="str">
        <f t="shared" si="18"/>
        <v>May</v>
      </c>
      <c r="P431">
        <f t="shared" si="19"/>
        <v>5</v>
      </c>
      <c r="Q431">
        <f t="shared" si="20"/>
        <v>2023</v>
      </c>
    </row>
    <row r="432" spans="1:17" x14ac:dyDescent="0.25">
      <c r="A432">
        <v>1015</v>
      </c>
      <c r="B432" s="1">
        <v>45145</v>
      </c>
      <c r="C432" t="s">
        <v>42</v>
      </c>
      <c r="D432" t="s">
        <v>34</v>
      </c>
      <c r="E432" s="4">
        <v>1148.47</v>
      </c>
      <c r="F432" s="2">
        <v>19</v>
      </c>
      <c r="G432" t="s">
        <v>29</v>
      </c>
      <c r="H432">
        <v>433.54</v>
      </c>
      <c r="I432">
        <v>445.48</v>
      </c>
      <c r="J432" t="s">
        <v>30</v>
      </c>
      <c r="K432" s="5">
        <v>0.28999999999999998</v>
      </c>
      <c r="L432" t="s">
        <v>27</v>
      </c>
      <c r="M432" t="s">
        <v>22</v>
      </c>
      <c r="N432" t="s">
        <v>52</v>
      </c>
      <c r="O432" t="str">
        <f t="shared" si="18"/>
        <v>August</v>
      </c>
      <c r="P432">
        <f t="shared" si="19"/>
        <v>8</v>
      </c>
      <c r="Q432">
        <f t="shared" si="20"/>
        <v>2023</v>
      </c>
    </row>
    <row r="433" spans="1:17" x14ac:dyDescent="0.25">
      <c r="A433">
        <v>1092</v>
      </c>
      <c r="B433" s="1">
        <v>45094</v>
      </c>
      <c r="C433" t="s">
        <v>42</v>
      </c>
      <c r="D433" t="s">
        <v>34</v>
      </c>
      <c r="E433" s="4">
        <v>1632.8</v>
      </c>
      <c r="F433" s="2">
        <v>47</v>
      </c>
      <c r="G433" t="s">
        <v>16</v>
      </c>
      <c r="H433">
        <v>1447.45</v>
      </c>
      <c r="I433">
        <v>1703.02</v>
      </c>
      <c r="J433" t="s">
        <v>17</v>
      </c>
      <c r="K433" s="5">
        <v>0.12</v>
      </c>
      <c r="L433" t="s">
        <v>27</v>
      </c>
      <c r="M433" t="s">
        <v>22</v>
      </c>
      <c r="N433" t="s">
        <v>52</v>
      </c>
      <c r="O433" t="str">
        <f t="shared" si="18"/>
        <v>June</v>
      </c>
      <c r="P433">
        <f t="shared" si="19"/>
        <v>6</v>
      </c>
      <c r="Q433">
        <f t="shared" si="20"/>
        <v>2023</v>
      </c>
    </row>
    <row r="434" spans="1:17" x14ac:dyDescent="0.25">
      <c r="A434">
        <v>1098</v>
      </c>
      <c r="B434" s="1">
        <v>45024</v>
      </c>
      <c r="C434" t="s">
        <v>38</v>
      </c>
      <c r="D434" t="s">
        <v>15</v>
      </c>
      <c r="E434" s="4">
        <v>9452.89</v>
      </c>
      <c r="F434" s="2">
        <v>5</v>
      </c>
      <c r="G434" t="s">
        <v>35</v>
      </c>
      <c r="H434">
        <v>2947.22</v>
      </c>
      <c r="I434">
        <v>3145.27</v>
      </c>
      <c r="J434" t="s">
        <v>30</v>
      </c>
      <c r="K434" s="5">
        <v>0.1</v>
      </c>
      <c r="L434" t="s">
        <v>31</v>
      </c>
      <c r="M434" t="s">
        <v>22</v>
      </c>
      <c r="N434" t="s">
        <v>40</v>
      </c>
      <c r="O434" t="str">
        <f t="shared" si="18"/>
        <v>April</v>
      </c>
      <c r="P434">
        <f t="shared" si="19"/>
        <v>4</v>
      </c>
      <c r="Q434">
        <f t="shared" si="20"/>
        <v>2023</v>
      </c>
    </row>
    <row r="435" spans="1:17" x14ac:dyDescent="0.25">
      <c r="A435">
        <v>1066</v>
      </c>
      <c r="B435" s="1">
        <v>45194</v>
      </c>
      <c r="C435" t="s">
        <v>38</v>
      </c>
      <c r="D435" t="s">
        <v>34</v>
      </c>
      <c r="E435" s="4">
        <v>7391.7</v>
      </c>
      <c r="F435" s="2">
        <v>47</v>
      </c>
      <c r="G435" t="s">
        <v>26</v>
      </c>
      <c r="H435">
        <v>1319.24</v>
      </c>
      <c r="I435">
        <v>1805.56</v>
      </c>
      <c r="J435" t="s">
        <v>30</v>
      </c>
      <c r="K435" s="5">
        <v>0.26</v>
      </c>
      <c r="L435" t="s">
        <v>31</v>
      </c>
      <c r="M435" t="s">
        <v>22</v>
      </c>
      <c r="N435" t="s">
        <v>48</v>
      </c>
      <c r="O435" t="str">
        <f t="shared" si="18"/>
        <v>September</v>
      </c>
      <c r="P435">
        <f t="shared" si="19"/>
        <v>9</v>
      </c>
      <c r="Q435">
        <f t="shared" si="20"/>
        <v>2023</v>
      </c>
    </row>
    <row r="436" spans="1:17" x14ac:dyDescent="0.25">
      <c r="A436">
        <v>1032</v>
      </c>
      <c r="B436" s="1">
        <v>45163</v>
      </c>
      <c r="C436" t="s">
        <v>14</v>
      </c>
      <c r="D436" t="s">
        <v>15</v>
      </c>
      <c r="E436" s="4">
        <v>8841.64</v>
      </c>
      <c r="F436" s="2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 s="5">
        <v>0.17</v>
      </c>
      <c r="L436" t="s">
        <v>31</v>
      </c>
      <c r="M436" t="s">
        <v>22</v>
      </c>
      <c r="N436" t="s">
        <v>20</v>
      </c>
      <c r="O436" t="str">
        <f t="shared" si="18"/>
        <v>August</v>
      </c>
      <c r="P436">
        <f t="shared" si="19"/>
        <v>8</v>
      </c>
      <c r="Q436">
        <f t="shared" si="20"/>
        <v>2023</v>
      </c>
    </row>
    <row r="437" spans="1:17" x14ac:dyDescent="0.25">
      <c r="A437">
        <v>1087</v>
      </c>
      <c r="B437" s="1">
        <v>45235</v>
      </c>
      <c r="C437" t="s">
        <v>38</v>
      </c>
      <c r="D437" t="s">
        <v>34</v>
      </c>
      <c r="E437" s="4">
        <v>2106.06</v>
      </c>
      <c r="F437" s="2">
        <v>30</v>
      </c>
      <c r="G437" t="s">
        <v>35</v>
      </c>
      <c r="H437">
        <v>698.74</v>
      </c>
      <c r="I437">
        <v>882.28</v>
      </c>
      <c r="J437" t="s">
        <v>17</v>
      </c>
      <c r="K437" s="5">
        <v>0.15</v>
      </c>
      <c r="L437" t="s">
        <v>31</v>
      </c>
      <c r="M437" t="s">
        <v>19</v>
      </c>
      <c r="N437" t="s">
        <v>48</v>
      </c>
      <c r="O437" t="str">
        <f t="shared" si="18"/>
        <v>November</v>
      </c>
      <c r="P437">
        <f t="shared" si="19"/>
        <v>11</v>
      </c>
      <c r="Q437">
        <f t="shared" si="20"/>
        <v>2023</v>
      </c>
    </row>
    <row r="438" spans="1:17" x14ac:dyDescent="0.25">
      <c r="A438">
        <v>1063</v>
      </c>
      <c r="B438" s="1">
        <v>45099</v>
      </c>
      <c r="C438" t="s">
        <v>14</v>
      </c>
      <c r="D438" t="s">
        <v>25</v>
      </c>
      <c r="E438" s="4">
        <v>5917.1</v>
      </c>
      <c r="F438" s="2">
        <v>25</v>
      </c>
      <c r="G438" t="s">
        <v>35</v>
      </c>
      <c r="H438">
        <v>3997.1</v>
      </c>
      <c r="I438">
        <v>4212.6499999999996</v>
      </c>
      <c r="J438" t="s">
        <v>30</v>
      </c>
      <c r="K438" s="5">
        <v>0.22</v>
      </c>
      <c r="L438" t="s">
        <v>18</v>
      </c>
      <c r="M438" t="s">
        <v>19</v>
      </c>
      <c r="N438" t="s">
        <v>32</v>
      </c>
      <c r="O438" t="str">
        <f t="shared" si="18"/>
        <v>June</v>
      </c>
      <c r="P438">
        <f t="shared" si="19"/>
        <v>6</v>
      </c>
      <c r="Q438">
        <f t="shared" si="20"/>
        <v>2023</v>
      </c>
    </row>
    <row r="439" spans="1:17" x14ac:dyDescent="0.25">
      <c r="A439">
        <v>1086</v>
      </c>
      <c r="B439" s="1">
        <v>45116</v>
      </c>
      <c r="C439" t="s">
        <v>24</v>
      </c>
      <c r="D439" t="s">
        <v>15</v>
      </c>
      <c r="E439" s="4">
        <v>7041.28</v>
      </c>
      <c r="F439" s="2">
        <v>28</v>
      </c>
      <c r="G439" t="s">
        <v>26</v>
      </c>
      <c r="H439">
        <v>2564.35</v>
      </c>
      <c r="I439">
        <v>2765.79</v>
      </c>
      <c r="J439" t="s">
        <v>17</v>
      </c>
      <c r="K439" s="5">
        <v>0.17</v>
      </c>
      <c r="L439" t="s">
        <v>31</v>
      </c>
      <c r="M439" t="s">
        <v>19</v>
      </c>
      <c r="N439" t="s">
        <v>45</v>
      </c>
      <c r="O439" t="str">
        <f t="shared" si="18"/>
        <v>July</v>
      </c>
      <c r="P439">
        <f t="shared" si="19"/>
        <v>7</v>
      </c>
      <c r="Q439">
        <f t="shared" si="20"/>
        <v>2023</v>
      </c>
    </row>
    <row r="440" spans="1:17" x14ac:dyDescent="0.25">
      <c r="A440">
        <v>1051</v>
      </c>
      <c r="B440" s="1">
        <v>45048</v>
      </c>
      <c r="C440" t="s">
        <v>42</v>
      </c>
      <c r="D440" t="s">
        <v>15</v>
      </c>
      <c r="E440" s="4">
        <v>6833.11</v>
      </c>
      <c r="F440" s="2">
        <v>34</v>
      </c>
      <c r="G440" t="s">
        <v>16</v>
      </c>
      <c r="H440">
        <v>3764.14</v>
      </c>
      <c r="I440">
        <v>4100.3999999999996</v>
      </c>
      <c r="J440" t="s">
        <v>17</v>
      </c>
      <c r="K440" s="5">
        <v>0.05</v>
      </c>
      <c r="L440" t="s">
        <v>27</v>
      </c>
      <c r="M440" t="s">
        <v>22</v>
      </c>
      <c r="N440" t="s">
        <v>49</v>
      </c>
      <c r="O440" t="str">
        <f t="shared" si="18"/>
        <v>May</v>
      </c>
      <c r="P440">
        <f t="shared" si="19"/>
        <v>5</v>
      </c>
      <c r="Q440">
        <f t="shared" si="20"/>
        <v>2023</v>
      </c>
    </row>
    <row r="441" spans="1:17" x14ac:dyDescent="0.25">
      <c r="A441">
        <v>1025</v>
      </c>
      <c r="B441" s="1">
        <v>44972</v>
      </c>
      <c r="C441" t="s">
        <v>24</v>
      </c>
      <c r="D441" t="s">
        <v>25</v>
      </c>
      <c r="E441" s="4">
        <v>4140.7</v>
      </c>
      <c r="F441" s="2">
        <v>45</v>
      </c>
      <c r="G441" t="s">
        <v>29</v>
      </c>
      <c r="H441">
        <v>1588.04</v>
      </c>
      <c r="I441">
        <v>1703.6399999999901</v>
      </c>
      <c r="J441" t="s">
        <v>30</v>
      </c>
      <c r="K441" s="5">
        <v>0.2</v>
      </c>
      <c r="L441" t="s">
        <v>27</v>
      </c>
      <c r="M441" t="s">
        <v>22</v>
      </c>
      <c r="N441" t="s">
        <v>28</v>
      </c>
      <c r="O441" t="str">
        <f t="shared" si="18"/>
        <v>February</v>
      </c>
      <c r="P441">
        <f t="shared" si="19"/>
        <v>2</v>
      </c>
      <c r="Q441">
        <f t="shared" si="20"/>
        <v>2023</v>
      </c>
    </row>
    <row r="442" spans="1:17" x14ac:dyDescent="0.25">
      <c r="A442">
        <v>1058</v>
      </c>
      <c r="B442" s="1">
        <v>44990</v>
      </c>
      <c r="C442" t="s">
        <v>38</v>
      </c>
      <c r="D442" t="s">
        <v>15</v>
      </c>
      <c r="E442" s="4">
        <v>252.41</v>
      </c>
      <c r="F442" s="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 s="5">
        <v>0.04</v>
      </c>
      <c r="L442" t="s">
        <v>18</v>
      </c>
      <c r="M442" t="s">
        <v>19</v>
      </c>
      <c r="N442" t="s">
        <v>40</v>
      </c>
      <c r="O442" t="str">
        <f t="shared" si="18"/>
        <v>March</v>
      </c>
      <c r="P442">
        <f t="shared" si="19"/>
        <v>3</v>
      </c>
      <c r="Q442">
        <f t="shared" si="20"/>
        <v>2023</v>
      </c>
    </row>
    <row r="443" spans="1:17" x14ac:dyDescent="0.25">
      <c r="A443">
        <v>1063</v>
      </c>
      <c r="B443" s="1">
        <v>45056</v>
      </c>
      <c r="C443" t="s">
        <v>24</v>
      </c>
      <c r="D443" t="s">
        <v>34</v>
      </c>
      <c r="E443" s="4">
        <v>5870.97</v>
      </c>
      <c r="F443" s="2">
        <v>47</v>
      </c>
      <c r="G443" t="s">
        <v>35</v>
      </c>
      <c r="H443">
        <v>4291.33</v>
      </c>
      <c r="I443">
        <v>4658.6400000000003</v>
      </c>
      <c r="J443" t="s">
        <v>30</v>
      </c>
      <c r="K443" s="5">
        <v>0.24</v>
      </c>
      <c r="L443" t="s">
        <v>31</v>
      </c>
      <c r="M443" t="s">
        <v>22</v>
      </c>
      <c r="N443" t="s">
        <v>50</v>
      </c>
      <c r="O443" t="str">
        <f t="shared" si="18"/>
        <v>May</v>
      </c>
      <c r="P443">
        <f t="shared" si="19"/>
        <v>5</v>
      </c>
      <c r="Q443">
        <f t="shared" si="20"/>
        <v>2023</v>
      </c>
    </row>
    <row r="444" spans="1:17" x14ac:dyDescent="0.25">
      <c r="A444">
        <v>1062</v>
      </c>
      <c r="B444" s="1">
        <v>45236</v>
      </c>
      <c r="C444" t="s">
        <v>24</v>
      </c>
      <c r="D444" t="s">
        <v>34</v>
      </c>
      <c r="E444" s="4">
        <v>2605.71</v>
      </c>
      <c r="F444" s="2">
        <v>25</v>
      </c>
      <c r="G444" t="s">
        <v>26</v>
      </c>
      <c r="H444">
        <v>2361.0500000000002</v>
      </c>
      <c r="I444">
        <v>2616.19</v>
      </c>
      <c r="J444" t="s">
        <v>30</v>
      </c>
      <c r="K444" s="5">
        <v>0.3</v>
      </c>
      <c r="L444" t="s">
        <v>27</v>
      </c>
      <c r="M444" t="s">
        <v>22</v>
      </c>
      <c r="N444" t="s">
        <v>50</v>
      </c>
      <c r="O444" t="str">
        <f t="shared" si="18"/>
        <v>November</v>
      </c>
      <c r="P444">
        <f t="shared" si="19"/>
        <v>11</v>
      </c>
      <c r="Q444">
        <f t="shared" si="20"/>
        <v>2023</v>
      </c>
    </row>
    <row r="445" spans="1:17" x14ac:dyDescent="0.25">
      <c r="A445">
        <v>1022</v>
      </c>
      <c r="B445" s="1">
        <v>45289</v>
      </c>
      <c r="C445" t="s">
        <v>24</v>
      </c>
      <c r="D445" t="s">
        <v>15</v>
      </c>
      <c r="E445" s="4">
        <v>4557.5200000000004</v>
      </c>
      <c r="F445" s="2">
        <v>10</v>
      </c>
      <c r="G445" t="s">
        <v>16</v>
      </c>
      <c r="H445">
        <v>1830.61</v>
      </c>
      <c r="I445">
        <v>2044.04</v>
      </c>
      <c r="J445" t="s">
        <v>30</v>
      </c>
      <c r="K445" s="5">
        <v>0.11</v>
      </c>
      <c r="L445" t="s">
        <v>18</v>
      </c>
      <c r="M445" t="s">
        <v>19</v>
      </c>
      <c r="N445" t="s">
        <v>45</v>
      </c>
      <c r="O445" t="str">
        <f t="shared" si="18"/>
        <v>December</v>
      </c>
      <c r="P445">
        <f t="shared" si="19"/>
        <v>12</v>
      </c>
      <c r="Q445">
        <f t="shared" si="20"/>
        <v>2023</v>
      </c>
    </row>
    <row r="446" spans="1:17" x14ac:dyDescent="0.25">
      <c r="A446">
        <v>1058</v>
      </c>
      <c r="B446" s="1">
        <v>45119</v>
      </c>
      <c r="C446" t="s">
        <v>38</v>
      </c>
      <c r="D446" t="s">
        <v>34</v>
      </c>
      <c r="E446" s="4">
        <v>9580.0499999999993</v>
      </c>
      <c r="F446" s="2">
        <v>14</v>
      </c>
      <c r="G446" t="s">
        <v>35</v>
      </c>
      <c r="H446">
        <v>2703.97</v>
      </c>
      <c r="I446">
        <v>2796.8799999999901</v>
      </c>
      <c r="J446" t="s">
        <v>30</v>
      </c>
      <c r="K446" s="5">
        <v>0.13</v>
      </c>
      <c r="L446" t="s">
        <v>27</v>
      </c>
      <c r="M446" t="s">
        <v>19</v>
      </c>
      <c r="N446" t="s">
        <v>48</v>
      </c>
      <c r="O446" t="str">
        <f t="shared" si="18"/>
        <v>July</v>
      </c>
      <c r="P446">
        <f t="shared" si="19"/>
        <v>7</v>
      </c>
      <c r="Q446">
        <f t="shared" si="20"/>
        <v>2023</v>
      </c>
    </row>
    <row r="447" spans="1:17" x14ac:dyDescent="0.25">
      <c r="A447">
        <v>1058</v>
      </c>
      <c r="B447" s="1">
        <v>45233</v>
      </c>
      <c r="C447" t="s">
        <v>24</v>
      </c>
      <c r="D447" t="s">
        <v>21</v>
      </c>
      <c r="E447" s="4">
        <v>4050.45</v>
      </c>
      <c r="F447" s="2">
        <v>42</v>
      </c>
      <c r="G447" t="s">
        <v>29</v>
      </c>
      <c r="H447">
        <v>3600.95</v>
      </c>
      <c r="I447">
        <v>3702.8399999999901</v>
      </c>
      <c r="J447" t="s">
        <v>17</v>
      </c>
      <c r="K447" s="5">
        <v>0.01</v>
      </c>
      <c r="L447" t="s">
        <v>18</v>
      </c>
      <c r="M447" t="s">
        <v>22</v>
      </c>
      <c r="N447" t="s">
        <v>47</v>
      </c>
      <c r="O447" t="str">
        <f t="shared" si="18"/>
        <v>November</v>
      </c>
      <c r="P447">
        <f t="shared" si="19"/>
        <v>11</v>
      </c>
      <c r="Q447">
        <f t="shared" si="20"/>
        <v>2023</v>
      </c>
    </row>
    <row r="448" spans="1:17" x14ac:dyDescent="0.25">
      <c r="A448">
        <v>1086</v>
      </c>
      <c r="B448" s="1">
        <v>45107</v>
      </c>
      <c r="C448" t="s">
        <v>14</v>
      </c>
      <c r="D448" t="s">
        <v>15</v>
      </c>
      <c r="E448" s="4">
        <v>8414.0400000000009</v>
      </c>
      <c r="F448" s="2">
        <v>46</v>
      </c>
      <c r="G448" t="s">
        <v>29</v>
      </c>
      <c r="H448">
        <v>2245.64</v>
      </c>
      <c r="I448">
        <v>2260.81</v>
      </c>
      <c r="J448" t="s">
        <v>30</v>
      </c>
      <c r="K448" s="5">
        <v>0</v>
      </c>
      <c r="L448" t="s">
        <v>18</v>
      </c>
      <c r="M448" t="s">
        <v>22</v>
      </c>
      <c r="N448" t="s">
        <v>20</v>
      </c>
      <c r="O448" t="str">
        <f t="shared" si="18"/>
        <v>June</v>
      </c>
      <c r="P448">
        <f t="shared" si="19"/>
        <v>6</v>
      </c>
      <c r="Q448">
        <f t="shared" si="20"/>
        <v>2023</v>
      </c>
    </row>
    <row r="449" spans="1:17" x14ac:dyDescent="0.25">
      <c r="A449">
        <v>1049</v>
      </c>
      <c r="B449" s="1">
        <v>45218</v>
      </c>
      <c r="C449" t="s">
        <v>38</v>
      </c>
      <c r="D449" t="s">
        <v>25</v>
      </c>
      <c r="E449" s="4">
        <v>1966.55</v>
      </c>
      <c r="F449" s="2">
        <v>30</v>
      </c>
      <c r="G449" t="s">
        <v>29</v>
      </c>
      <c r="H449">
        <v>4697.4399999999996</v>
      </c>
      <c r="I449">
        <v>4752.24</v>
      </c>
      <c r="J449" t="s">
        <v>30</v>
      </c>
      <c r="K449" s="5">
        <v>0.28000000000000003</v>
      </c>
      <c r="L449" t="s">
        <v>31</v>
      </c>
      <c r="M449" t="s">
        <v>19</v>
      </c>
      <c r="N449" t="s">
        <v>39</v>
      </c>
      <c r="O449" t="str">
        <f t="shared" si="18"/>
        <v>October</v>
      </c>
      <c r="P449">
        <f t="shared" si="19"/>
        <v>10</v>
      </c>
      <c r="Q449">
        <f t="shared" si="20"/>
        <v>2023</v>
      </c>
    </row>
    <row r="450" spans="1:17" x14ac:dyDescent="0.25">
      <c r="A450">
        <v>1052</v>
      </c>
      <c r="B450" s="1">
        <v>45208</v>
      </c>
      <c r="C450" t="s">
        <v>24</v>
      </c>
      <c r="D450" t="s">
        <v>21</v>
      </c>
      <c r="E450" s="4">
        <v>6757.36</v>
      </c>
      <c r="F450" s="2">
        <v>41</v>
      </c>
      <c r="G450" t="s">
        <v>35</v>
      </c>
      <c r="H450">
        <v>1509.98</v>
      </c>
      <c r="I450">
        <v>1792.83</v>
      </c>
      <c r="J450" t="s">
        <v>30</v>
      </c>
      <c r="K450" s="5">
        <v>0.04</v>
      </c>
      <c r="L450" t="s">
        <v>18</v>
      </c>
      <c r="M450" t="s">
        <v>22</v>
      </c>
      <c r="N450" t="s">
        <v>47</v>
      </c>
      <c r="O450" t="str">
        <f t="shared" ref="O450:O513" si="21">TEXT(B450,"mmmm")</f>
        <v>October</v>
      </c>
      <c r="P450">
        <f t="shared" ref="P450:P513" si="22">MONTH(B450)</f>
        <v>10</v>
      </c>
      <c r="Q450">
        <f t="shared" ref="Q450:Q513" si="23">YEAR(B450)</f>
        <v>2023</v>
      </c>
    </row>
    <row r="451" spans="1:17" x14ac:dyDescent="0.25">
      <c r="A451">
        <v>1042</v>
      </c>
      <c r="B451" s="1">
        <v>44955</v>
      </c>
      <c r="C451" t="s">
        <v>38</v>
      </c>
      <c r="D451" t="s">
        <v>15</v>
      </c>
      <c r="E451" s="4">
        <v>9772.3700000000008</v>
      </c>
      <c r="F451" s="2">
        <v>25</v>
      </c>
      <c r="G451" t="s">
        <v>26</v>
      </c>
      <c r="H451">
        <v>2403.54</v>
      </c>
      <c r="I451">
        <v>2850.56</v>
      </c>
      <c r="J451" t="s">
        <v>30</v>
      </c>
      <c r="K451" s="5">
        <v>0.13</v>
      </c>
      <c r="L451" t="s">
        <v>27</v>
      </c>
      <c r="M451" t="s">
        <v>19</v>
      </c>
      <c r="N451" t="s">
        <v>40</v>
      </c>
      <c r="O451" t="str">
        <f t="shared" si="21"/>
        <v>January</v>
      </c>
      <c r="P451">
        <f t="shared" si="22"/>
        <v>1</v>
      </c>
      <c r="Q451">
        <f t="shared" si="23"/>
        <v>2023</v>
      </c>
    </row>
    <row r="452" spans="1:17" x14ac:dyDescent="0.25">
      <c r="A452">
        <v>1070</v>
      </c>
      <c r="B452" s="1">
        <v>45075</v>
      </c>
      <c r="C452" t="s">
        <v>33</v>
      </c>
      <c r="D452" t="s">
        <v>25</v>
      </c>
      <c r="E452" s="4">
        <v>1108.74</v>
      </c>
      <c r="F452" s="2">
        <v>14</v>
      </c>
      <c r="G452" t="s">
        <v>16</v>
      </c>
      <c r="H452">
        <v>3796.79</v>
      </c>
      <c r="I452">
        <v>3947.5</v>
      </c>
      <c r="J452" t="s">
        <v>17</v>
      </c>
      <c r="K452" s="5">
        <v>0.24</v>
      </c>
      <c r="L452" t="s">
        <v>27</v>
      </c>
      <c r="M452" t="s">
        <v>19</v>
      </c>
      <c r="N452" t="s">
        <v>44</v>
      </c>
      <c r="O452" t="str">
        <f t="shared" si="21"/>
        <v>May</v>
      </c>
      <c r="P452">
        <f t="shared" si="22"/>
        <v>5</v>
      </c>
      <c r="Q452">
        <f t="shared" si="23"/>
        <v>2023</v>
      </c>
    </row>
    <row r="453" spans="1:17" x14ac:dyDescent="0.25">
      <c r="A453">
        <v>1015</v>
      </c>
      <c r="B453" s="1">
        <v>45193</v>
      </c>
      <c r="C453" t="s">
        <v>14</v>
      </c>
      <c r="D453" t="s">
        <v>34</v>
      </c>
      <c r="E453" s="4">
        <v>182.37</v>
      </c>
      <c r="F453" s="2">
        <v>35</v>
      </c>
      <c r="G453" t="s">
        <v>29</v>
      </c>
      <c r="H453">
        <v>3461.15</v>
      </c>
      <c r="I453">
        <v>3631.75</v>
      </c>
      <c r="J453" t="s">
        <v>17</v>
      </c>
      <c r="K453" s="5">
        <v>0.27</v>
      </c>
      <c r="L453" t="s">
        <v>31</v>
      </c>
      <c r="M453" t="s">
        <v>19</v>
      </c>
      <c r="N453" t="s">
        <v>46</v>
      </c>
      <c r="O453" t="str">
        <f t="shared" si="21"/>
        <v>September</v>
      </c>
      <c r="P453">
        <f t="shared" si="22"/>
        <v>9</v>
      </c>
      <c r="Q453">
        <f t="shared" si="23"/>
        <v>2023</v>
      </c>
    </row>
    <row r="454" spans="1:17" x14ac:dyDescent="0.25">
      <c r="A454">
        <v>1054</v>
      </c>
      <c r="B454" s="1">
        <v>45222</v>
      </c>
      <c r="C454" t="s">
        <v>24</v>
      </c>
      <c r="D454" t="s">
        <v>25</v>
      </c>
      <c r="E454" s="4">
        <v>4392.47</v>
      </c>
      <c r="F454" s="2">
        <v>48</v>
      </c>
      <c r="G454" t="s">
        <v>35</v>
      </c>
      <c r="H454">
        <v>4325.0200000000004</v>
      </c>
      <c r="I454">
        <v>4391.67</v>
      </c>
      <c r="J454" t="s">
        <v>17</v>
      </c>
      <c r="K454" s="5">
        <v>0.16</v>
      </c>
      <c r="L454" t="s">
        <v>31</v>
      </c>
      <c r="M454" t="s">
        <v>22</v>
      </c>
      <c r="N454" t="s">
        <v>28</v>
      </c>
      <c r="O454" t="str">
        <f t="shared" si="21"/>
        <v>October</v>
      </c>
      <c r="P454">
        <f t="shared" si="22"/>
        <v>10</v>
      </c>
      <c r="Q454">
        <f t="shared" si="23"/>
        <v>2023</v>
      </c>
    </row>
    <row r="455" spans="1:17" x14ac:dyDescent="0.25">
      <c r="A455">
        <v>1060</v>
      </c>
      <c r="B455" s="1">
        <v>44937</v>
      </c>
      <c r="C455" t="s">
        <v>33</v>
      </c>
      <c r="D455" t="s">
        <v>21</v>
      </c>
      <c r="E455" s="4">
        <v>1016.99</v>
      </c>
      <c r="F455" s="2">
        <v>34</v>
      </c>
      <c r="G455" t="s">
        <v>35</v>
      </c>
      <c r="H455">
        <v>4984.21</v>
      </c>
      <c r="I455">
        <v>5184.6400000000003</v>
      </c>
      <c r="J455" t="s">
        <v>30</v>
      </c>
      <c r="K455" s="5">
        <v>0.17</v>
      </c>
      <c r="L455" t="s">
        <v>18</v>
      </c>
      <c r="M455" t="s">
        <v>19</v>
      </c>
      <c r="N455" t="s">
        <v>37</v>
      </c>
      <c r="O455" t="str">
        <f t="shared" si="21"/>
        <v>January</v>
      </c>
      <c r="P455">
        <f t="shared" si="22"/>
        <v>1</v>
      </c>
      <c r="Q455">
        <f t="shared" si="23"/>
        <v>2023</v>
      </c>
    </row>
    <row r="456" spans="1:17" x14ac:dyDescent="0.25">
      <c r="A456">
        <v>1097</v>
      </c>
      <c r="B456" s="1">
        <v>45090</v>
      </c>
      <c r="C456" t="s">
        <v>33</v>
      </c>
      <c r="D456" t="s">
        <v>34</v>
      </c>
      <c r="E456" s="4">
        <v>7509.01</v>
      </c>
      <c r="F456" s="2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 s="5">
        <v>0.2</v>
      </c>
      <c r="L456" t="s">
        <v>31</v>
      </c>
      <c r="M456" t="s">
        <v>19</v>
      </c>
      <c r="N456" t="s">
        <v>36</v>
      </c>
      <c r="O456" t="str">
        <f t="shared" si="21"/>
        <v>June</v>
      </c>
      <c r="P456">
        <f t="shared" si="22"/>
        <v>6</v>
      </c>
      <c r="Q456">
        <f t="shared" si="23"/>
        <v>2023</v>
      </c>
    </row>
    <row r="457" spans="1:17" x14ac:dyDescent="0.25">
      <c r="A457">
        <v>1008</v>
      </c>
      <c r="B457" s="1">
        <v>45039</v>
      </c>
      <c r="C457" t="s">
        <v>38</v>
      </c>
      <c r="D457" t="s">
        <v>15</v>
      </c>
      <c r="E457" s="4">
        <v>9154.0300000000007</v>
      </c>
      <c r="F457" s="2">
        <v>35</v>
      </c>
      <c r="G457" t="s">
        <v>29</v>
      </c>
      <c r="H457">
        <v>600.20000000000005</v>
      </c>
      <c r="I457">
        <v>1059.82</v>
      </c>
      <c r="J457" t="s">
        <v>17</v>
      </c>
      <c r="K457" s="5">
        <v>0.28999999999999998</v>
      </c>
      <c r="L457" t="s">
        <v>27</v>
      </c>
      <c r="M457" t="s">
        <v>22</v>
      </c>
      <c r="N457" t="s">
        <v>40</v>
      </c>
      <c r="O457" t="str">
        <f t="shared" si="21"/>
        <v>April</v>
      </c>
      <c r="P457">
        <f t="shared" si="22"/>
        <v>4</v>
      </c>
      <c r="Q457">
        <f t="shared" si="23"/>
        <v>2023</v>
      </c>
    </row>
    <row r="458" spans="1:17" x14ac:dyDescent="0.25">
      <c r="A458">
        <v>1053</v>
      </c>
      <c r="B458" s="1">
        <v>45113</v>
      </c>
      <c r="C458" t="s">
        <v>33</v>
      </c>
      <c r="D458" t="s">
        <v>34</v>
      </c>
      <c r="E458" s="4">
        <v>4396.8100000000004</v>
      </c>
      <c r="F458" s="2">
        <v>11</v>
      </c>
      <c r="G458" t="s">
        <v>35</v>
      </c>
      <c r="H458">
        <v>200.56</v>
      </c>
      <c r="I458">
        <v>540.38</v>
      </c>
      <c r="J458" t="s">
        <v>30</v>
      </c>
      <c r="K458" s="5">
        <v>0.18</v>
      </c>
      <c r="L458" t="s">
        <v>27</v>
      </c>
      <c r="M458" t="s">
        <v>19</v>
      </c>
      <c r="N458" t="s">
        <v>36</v>
      </c>
      <c r="O458" t="str">
        <f t="shared" si="21"/>
        <v>July</v>
      </c>
      <c r="P458">
        <f t="shared" si="22"/>
        <v>7</v>
      </c>
      <c r="Q458">
        <f t="shared" si="23"/>
        <v>2023</v>
      </c>
    </row>
    <row r="459" spans="1:17" x14ac:dyDescent="0.25">
      <c r="A459">
        <v>1060</v>
      </c>
      <c r="B459" s="1">
        <v>45221</v>
      </c>
      <c r="C459" t="s">
        <v>14</v>
      </c>
      <c r="D459" t="s">
        <v>15</v>
      </c>
      <c r="E459" s="4">
        <v>2661.25</v>
      </c>
      <c r="F459" s="2">
        <v>11</v>
      </c>
      <c r="G459" t="s">
        <v>16</v>
      </c>
      <c r="H459">
        <v>3648.04</v>
      </c>
      <c r="I459">
        <v>4143.51</v>
      </c>
      <c r="J459" t="s">
        <v>17</v>
      </c>
      <c r="K459" s="5">
        <v>0.17</v>
      </c>
      <c r="L459" t="s">
        <v>31</v>
      </c>
      <c r="M459" t="s">
        <v>22</v>
      </c>
      <c r="N459" t="s">
        <v>20</v>
      </c>
      <c r="O459" t="str">
        <f t="shared" si="21"/>
        <v>October</v>
      </c>
      <c r="P459">
        <f t="shared" si="22"/>
        <v>10</v>
      </c>
      <c r="Q459">
        <f t="shared" si="23"/>
        <v>2023</v>
      </c>
    </row>
    <row r="460" spans="1:17" x14ac:dyDescent="0.25">
      <c r="A460">
        <v>1005</v>
      </c>
      <c r="B460" s="1">
        <v>45158</v>
      </c>
      <c r="C460" t="s">
        <v>14</v>
      </c>
      <c r="D460" t="s">
        <v>15</v>
      </c>
      <c r="E460" s="4">
        <v>4400.59</v>
      </c>
      <c r="F460" s="2">
        <v>21</v>
      </c>
      <c r="G460" t="s">
        <v>26</v>
      </c>
      <c r="H460">
        <v>4376.37</v>
      </c>
      <c r="I460">
        <v>4818.95</v>
      </c>
      <c r="J460" t="s">
        <v>30</v>
      </c>
      <c r="K460" s="5">
        <v>0</v>
      </c>
      <c r="L460" t="s">
        <v>31</v>
      </c>
      <c r="M460" t="s">
        <v>22</v>
      </c>
      <c r="N460" t="s">
        <v>20</v>
      </c>
      <c r="O460" t="str">
        <f t="shared" si="21"/>
        <v>August</v>
      </c>
      <c r="P460">
        <f t="shared" si="22"/>
        <v>8</v>
      </c>
      <c r="Q460">
        <f t="shared" si="23"/>
        <v>2023</v>
      </c>
    </row>
    <row r="461" spans="1:17" x14ac:dyDescent="0.25">
      <c r="A461">
        <v>1068</v>
      </c>
      <c r="B461" s="1">
        <v>45153</v>
      </c>
      <c r="C461" t="s">
        <v>42</v>
      </c>
      <c r="D461" t="s">
        <v>25</v>
      </c>
      <c r="E461" s="4">
        <v>7262.13</v>
      </c>
      <c r="F461" s="2">
        <v>21</v>
      </c>
      <c r="G461" t="s">
        <v>26</v>
      </c>
      <c r="H461">
        <v>1142.53</v>
      </c>
      <c r="I461">
        <v>1384.3</v>
      </c>
      <c r="J461" t="s">
        <v>17</v>
      </c>
      <c r="K461" s="5">
        <v>0.02</v>
      </c>
      <c r="L461" t="s">
        <v>31</v>
      </c>
      <c r="M461" t="s">
        <v>22</v>
      </c>
      <c r="N461" t="s">
        <v>43</v>
      </c>
      <c r="O461" t="str">
        <f t="shared" si="21"/>
        <v>August</v>
      </c>
      <c r="P461">
        <f t="shared" si="22"/>
        <v>8</v>
      </c>
      <c r="Q461">
        <f t="shared" si="23"/>
        <v>2023</v>
      </c>
    </row>
    <row r="462" spans="1:17" x14ac:dyDescent="0.25">
      <c r="A462">
        <v>1006</v>
      </c>
      <c r="B462" s="1">
        <v>45236</v>
      </c>
      <c r="C462" t="s">
        <v>14</v>
      </c>
      <c r="D462" t="s">
        <v>25</v>
      </c>
      <c r="E462" s="4">
        <v>189.64</v>
      </c>
      <c r="F462" s="2">
        <v>22</v>
      </c>
      <c r="G462" t="s">
        <v>26</v>
      </c>
      <c r="H462">
        <v>834.32</v>
      </c>
      <c r="I462">
        <v>1098.97</v>
      </c>
      <c r="J462" t="s">
        <v>17</v>
      </c>
      <c r="K462" s="5">
        <v>0.17</v>
      </c>
      <c r="L462" t="s">
        <v>18</v>
      </c>
      <c r="M462" t="s">
        <v>19</v>
      </c>
      <c r="N462" t="s">
        <v>32</v>
      </c>
      <c r="O462" t="str">
        <f t="shared" si="21"/>
        <v>November</v>
      </c>
      <c r="P462">
        <f t="shared" si="22"/>
        <v>11</v>
      </c>
      <c r="Q462">
        <f t="shared" si="23"/>
        <v>2023</v>
      </c>
    </row>
    <row r="463" spans="1:17" x14ac:dyDescent="0.25">
      <c r="A463">
        <v>1096</v>
      </c>
      <c r="B463" s="1">
        <v>45024</v>
      </c>
      <c r="C463" t="s">
        <v>33</v>
      </c>
      <c r="D463" t="s">
        <v>25</v>
      </c>
      <c r="E463" s="4">
        <v>5935.59</v>
      </c>
      <c r="F463" s="2">
        <v>45</v>
      </c>
      <c r="G463" t="s">
        <v>29</v>
      </c>
      <c r="H463">
        <v>357.92</v>
      </c>
      <c r="I463">
        <v>461.3</v>
      </c>
      <c r="J463" t="s">
        <v>17</v>
      </c>
      <c r="K463" s="5">
        <v>0.28000000000000003</v>
      </c>
      <c r="L463" t="s">
        <v>18</v>
      </c>
      <c r="M463" t="s">
        <v>19</v>
      </c>
      <c r="N463" t="s">
        <v>44</v>
      </c>
      <c r="O463" t="str">
        <f t="shared" si="21"/>
        <v>April</v>
      </c>
      <c r="P463">
        <f t="shared" si="22"/>
        <v>4</v>
      </c>
      <c r="Q463">
        <f t="shared" si="23"/>
        <v>2023</v>
      </c>
    </row>
    <row r="464" spans="1:17" x14ac:dyDescent="0.25">
      <c r="A464">
        <v>1094</v>
      </c>
      <c r="B464" s="1">
        <v>44981</v>
      </c>
      <c r="C464" t="s">
        <v>14</v>
      </c>
      <c r="D464" t="s">
        <v>21</v>
      </c>
      <c r="E464" s="4">
        <v>6171.59</v>
      </c>
      <c r="F464" s="2">
        <v>7</v>
      </c>
      <c r="G464" t="s">
        <v>16</v>
      </c>
      <c r="H464">
        <v>4122.38</v>
      </c>
      <c r="I464">
        <v>4358.78</v>
      </c>
      <c r="J464" t="s">
        <v>17</v>
      </c>
      <c r="K464" s="5">
        <v>0.26</v>
      </c>
      <c r="L464" t="s">
        <v>27</v>
      </c>
      <c r="M464" t="s">
        <v>22</v>
      </c>
      <c r="N464" t="s">
        <v>23</v>
      </c>
      <c r="O464" t="str">
        <f t="shared" si="21"/>
        <v>February</v>
      </c>
      <c r="P464">
        <f t="shared" si="22"/>
        <v>2</v>
      </c>
      <c r="Q464">
        <f t="shared" si="23"/>
        <v>2023</v>
      </c>
    </row>
    <row r="465" spans="1:17" x14ac:dyDescent="0.25">
      <c r="A465">
        <v>1047</v>
      </c>
      <c r="B465" s="1">
        <v>45037</v>
      </c>
      <c r="C465" t="s">
        <v>38</v>
      </c>
      <c r="D465" t="s">
        <v>21</v>
      </c>
      <c r="E465" s="4">
        <v>6413.11</v>
      </c>
      <c r="F465" s="2">
        <v>17</v>
      </c>
      <c r="G465" t="s">
        <v>16</v>
      </c>
      <c r="H465">
        <v>1591.34</v>
      </c>
      <c r="I465">
        <v>2043.82</v>
      </c>
      <c r="J465" t="s">
        <v>30</v>
      </c>
      <c r="K465" s="5">
        <v>0.28999999999999998</v>
      </c>
      <c r="L465" t="s">
        <v>18</v>
      </c>
      <c r="M465" t="s">
        <v>22</v>
      </c>
      <c r="N465" t="s">
        <v>41</v>
      </c>
      <c r="O465" t="str">
        <f t="shared" si="21"/>
        <v>April</v>
      </c>
      <c r="P465">
        <f t="shared" si="22"/>
        <v>4</v>
      </c>
      <c r="Q465">
        <f t="shared" si="23"/>
        <v>2023</v>
      </c>
    </row>
    <row r="466" spans="1:17" x14ac:dyDescent="0.25">
      <c r="A466">
        <v>1099</v>
      </c>
      <c r="B466" s="1">
        <v>45078</v>
      </c>
      <c r="C466" t="s">
        <v>42</v>
      </c>
      <c r="D466" t="s">
        <v>25</v>
      </c>
      <c r="E466" s="4">
        <v>2496.02</v>
      </c>
      <c r="F466" s="2">
        <v>2</v>
      </c>
      <c r="G466" t="s">
        <v>35</v>
      </c>
      <c r="H466">
        <v>2038.4</v>
      </c>
      <c r="I466">
        <v>2073.3200000000002</v>
      </c>
      <c r="J466" t="s">
        <v>30</v>
      </c>
      <c r="K466" s="5">
        <v>0.16</v>
      </c>
      <c r="L466" t="s">
        <v>18</v>
      </c>
      <c r="M466" t="s">
        <v>22</v>
      </c>
      <c r="N466" t="s">
        <v>43</v>
      </c>
      <c r="O466" t="str">
        <f t="shared" si="21"/>
        <v>June</v>
      </c>
      <c r="P466">
        <f t="shared" si="22"/>
        <v>6</v>
      </c>
      <c r="Q466">
        <f t="shared" si="23"/>
        <v>2023</v>
      </c>
    </row>
    <row r="467" spans="1:17" x14ac:dyDescent="0.25">
      <c r="A467">
        <v>1055</v>
      </c>
      <c r="B467" s="1">
        <v>45172</v>
      </c>
      <c r="C467" t="s">
        <v>33</v>
      </c>
      <c r="D467" t="s">
        <v>21</v>
      </c>
      <c r="E467" s="4">
        <v>7169.12</v>
      </c>
      <c r="F467" s="2">
        <v>12</v>
      </c>
      <c r="G467" t="s">
        <v>35</v>
      </c>
      <c r="H467">
        <v>2538.61</v>
      </c>
      <c r="I467">
        <v>2971.75</v>
      </c>
      <c r="J467" t="s">
        <v>17</v>
      </c>
      <c r="K467" s="5">
        <v>0.24</v>
      </c>
      <c r="L467" t="s">
        <v>18</v>
      </c>
      <c r="M467" t="s">
        <v>19</v>
      </c>
      <c r="N467" t="s">
        <v>37</v>
      </c>
      <c r="O467" t="str">
        <f t="shared" si="21"/>
        <v>September</v>
      </c>
      <c r="P467">
        <f t="shared" si="22"/>
        <v>9</v>
      </c>
      <c r="Q467">
        <f t="shared" si="23"/>
        <v>2023</v>
      </c>
    </row>
    <row r="468" spans="1:17" x14ac:dyDescent="0.25">
      <c r="A468">
        <v>1040</v>
      </c>
      <c r="B468" s="1">
        <v>44995</v>
      </c>
      <c r="C468" t="s">
        <v>42</v>
      </c>
      <c r="D468" t="s">
        <v>34</v>
      </c>
      <c r="E468" s="4">
        <v>1004.78</v>
      </c>
      <c r="F468" s="2">
        <v>42</v>
      </c>
      <c r="G468" t="s">
        <v>35</v>
      </c>
      <c r="H468">
        <v>4205.29</v>
      </c>
      <c r="I468">
        <v>4382.3500000000004</v>
      </c>
      <c r="J468" t="s">
        <v>30</v>
      </c>
      <c r="K468" s="5">
        <v>0.25</v>
      </c>
      <c r="L468" t="s">
        <v>18</v>
      </c>
      <c r="M468" t="s">
        <v>22</v>
      </c>
      <c r="N468" t="s">
        <v>52</v>
      </c>
      <c r="O468" t="str">
        <f t="shared" si="21"/>
        <v>March</v>
      </c>
      <c r="P468">
        <f t="shared" si="22"/>
        <v>3</v>
      </c>
      <c r="Q468">
        <f t="shared" si="23"/>
        <v>2023</v>
      </c>
    </row>
    <row r="469" spans="1:17" x14ac:dyDescent="0.25">
      <c r="A469">
        <v>1052</v>
      </c>
      <c r="B469" s="1">
        <v>45238</v>
      </c>
      <c r="C469" t="s">
        <v>33</v>
      </c>
      <c r="D469" t="s">
        <v>34</v>
      </c>
      <c r="E469" s="4">
        <v>2072.7800000000002</v>
      </c>
      <c r="F469" s="2">
        <v>18</v>
      </c>
      <c r="G469" t="s">
        <v>16</v>
      </c>
      <c r="H469">
        <v>3271.62</v>
      </c>
      <c r="I469">
        <v>3722.38</v>
      </c>
      <c r="J469" t="s">
        <v>17</v>
      </c>
      <c r="K469" s="5">
        <v>0.19</v>
      </c>
      <c r="L469" t="s">
        <v>27</v>
      </c>
      <c r="M469" t="s">
        <v>22</v>
      </c>
      <c r="N469" t="s">
        <v>36</v>
      </c>
      <c r="O469" t="str">
        <f t="shared" si="21"/>
        <v>November</v>
      </c>
      <c r="P469">
        <f t="shared" si="22"/>
        <v>11</v>
      </c>
      <c r="Q469">
        <f t="shared" si="23"/>
        <v>2023</v>
      </c>
    </row>
    <row r="470" spans="1:17" x14ac:dyDescent="0.25">
      <c r="A470">
        <v>1016</v>
      </c>
      <c r="B470" s="1">
        <v>45215</v>
      </c>
      <c r="C470" t="s">
        <v>38</v>
      </c>
      <c r="D470" t="s">
        <v>21</v>
      </c>
      <c r="E470" s="4">
        <v>8786.9500000000007</v>
      </c>
      <c r="F470" s="2">
        <v>11</v>
      </c>
      <c r="G470" t="s">
        <v>35</v>
      </c>
      <c r="H470">
        <v>3094.57</v>
      </c>
      <c r="I470">
        <v>3565.6</v>
      </c>
      <c r="J470" t="s">
        <v>17</v>
      </c>
      <c r="K470" s="5">
        <v>0.1</v>
      </c>
      <c r="L470" t="s">
        <v>31</v>
      </c>
      <c r="M470" t="s">
        <v>22</v>
      </c>
      <c r="N470" t="s">
        <v>41</v>
      </c>
      <c r="O470" t="str">
        <f t="shared" si="21"/>
        <v>October</v>
      </c>
      <c r="P470">
        <f t="shared" si="22"/>
        <v>10</v>
      </c>
      <c r="Q470">
        <f t="shared" si="23"/>
        <v>2023</v>
      </c>
    </row>
    <row r="471" spans="1:17" x14ac:dyDescent="0.25">
      <c r="A471">
        <v>1013</v>
      </c>
      <c r="B471" s="1">
        <v>45176</v>
      </c>
      <c r="C471" t="s">
        <v>42</v>
      </c>
      <c r="D471" t="s">
        <v>21</v>
      </c>
      <c r="E471" s="4">
        <v>7413.36</v>
      </c>
      <c r="F471" s="2">
        <v>16</v>
      </c>
      <c r="G471" t="s">
        <v>16</v>
      </c>
      <c r="H471">
        <v>919.58</v>
      </c>
      <c r="I471">
        <v>1258.3</v>
      </c>
      <c r="J471" t="s">
        <v>17</v>
      </c>
      <c r="K471" s="5">
        <v>0.14000000000000001</v>
      </c>
      <c r="L471" t="s">
        <v>27</v>
      </c>
      <c r="M471" t="s">
        <v>19</v>
      </c>
      <c r="N471" t="s">
        <v>51</v>
      </c>
      <c r="O471" t="str">
        <f t="shared" si="21"/>
        <v>September</v>
      </c>
      <c r="P471">
        <f t="shared" si="22"/>
        <v>9</v>
      </c>
      <c r="Q471">
        <f t="shared" si="23"/>
        <v>2023</v>
      </c>
    </row>
    <row r="472" spans="1:17" x14ac:dyDescent="0.25">
      <c r="A472">
        <v>1030</v>
      </c>
      <c r="B472" s="1">
        <v>44962</v>
      </c>
      <c r="C472" t="s">
        <v>24</v>
      </c>
      <c r="D472" t="s">
        <v>34</v>
      </c>
      <c r="E472" s="4">
        <v>236.08</v>
      </c>
      <c r="F472" s="2">
        <v>49</v>
      </c>
      <c r="G472" t="s">
        <v>16</v>
      </c>
      <c r="H472">
        <v>2590.29</v>
      </c>
      <c r="I472">
        <v>2925.86</v>
      </c>
      <c r="J472" t="s">
        <v>17</v>
      </c>
      <c r="K472" s="5">
        <v>0.26</v>
      </c>
      <c r="L472" t="s">
        <v>18</v>
      </c>
      <c r="M472" t="s">
        <v>22</v>
      </c>
      <c r="N472" t="s">
        <v>50</v>
      </c>
      <c r="O472" t="str">
        <f t="shared" si="21"/>
        <v>February</v>
      </c>
      <c r="P472">
        <f t="shared" si="22"/>
        <v>2</v>
      </c>
      <c r="Q472">
        <f t="shared" si="23"/>
        <v>2023</v>
      </c>
    </row>
    <row r="473" spans="1:17" x14ac:dyDescent="0.25">
      <c r="A473">
        <v>1019</v>
      </c>
      <c r="B473" s="1">
        <v>45165</v>
      </c>
      <c r="C473" t="s">
        <v>33</v>
      </c>
      <c r="D473" t="s">
        <v>15</v>
      </c>
      <c r="E473" s="4">
        <v>2558.92</v>
      </c>
      <c r="F473" s="2">
        <v>18</v>
      </c>
      <c r="G473" t="s">
        <v>26</v>
      </c>
      <c r="H473">
        <v>3591.14</v>
      </c>
      <c r="I473">
        <v>3822.99</v>
      </c>
      <c r="J473" t="s">
        <v>17</v>
      </c>
      <c r="K473" s="5">
        <v>0.09</v>
      </c>
      <c r="L473" t="s">
        <v>31</v>
      </c>
      <c r="M473" t="s">
        <v>19</v>
      </c>
      <c r="N473" t="s">
        <v>53</v>
      </c>
      <c r="O473" t="str">
        <f t="shared" si="21"/>
        <v>August</v>
      </c>
      <c r="P473">
        <f t="shared" si="22"/>
        <v>8</v>
      </c>
      <c r="Q473">
        <f t="shared" si="23"/>
        <v>2023</v>
      </c>
    </row>
    <row r="474" spans="1:17" x14ac:dyDescent="0.25">
      <c r="A474">
        <v>1017</v>
      </c>
      <c r="B474" s="1">
        <v>45074</v>
      </c>
      <c r="C474" t="s">
        <v>24</v>
      </c>
      <c r="D474" t="s">
        <v>34</v>
      </c>
      <c r="E474" s="4">
        <v>2222.62</v>
      </c>
      <c r="F474" s="2">
        <v>35</v>
      </c>
      <c r="G474" t="s">
        <v>35</v>
      </c>
      <c r="H474">
        <v>4867.6400000000003</v>
      </c>
      <c r="I474">
        <v>5287.05</v>
      </c>
      <c r="J474" t="s">
        <v>17</v>
      </c>
      <c r="K474" s="5">
        <v>0.28000000000000003</v>
      </c>
      <c r="L474" t="s">
        <v>31</v>
      </c>
      <c r="M474" t="s">
        <v>19</v>
      </c>
      <c r="N474" t="s">
        <v>50</v>
      </c>
      <c r="O474" t="str">
        <f t="shared" si="21"/>
        <v>May</v>
      </c>
      <c r="P474">
        <f t="shared" si="22"/>
        <v>5</v>
      </c>
      <c r="Q474">
        <f t="shared" si="23"/>
        <v>2023</v>
      </c>
    </row>
    <row r="475" spans="1:17" x14ac:dyDescent="0.25">
      <c r="A475">
        <v>1063</v>
      </c>
      <c r="B475" s="1">
        <v>45153</v>
      </c>
      <c r="C475" t="s">
        <v>42</v>
      </c>
      <c r="D475" t="s">
        <v>34</v>
      </c>
      <c r="E475" s="4">
        <v>2780.98</v>
      </c>
      <c r="F475" s="2">
        <v>26</v>
      </c>
      <c r="G475" t="s">
        <v>26</v>
      </c>
      <c r="H475">
        <v>1046.96</v>
      </c>
      <c r="I475">
        <v>1528.15</v>
      </c>
      <c r="J475" t="s">
        <v>30</v>
      </c>
      <c r="K475" s="5">
        <v>7.0000000000000007E-2</v>
      </c>
      <c r="L475" t="s">
        <v>31</v>
      </c>
      <c r="M475" t="s">
        <v>22</v>
      </c>
      <c r="N475" t="s">
        <v>52</v>
      </c>
      <c r="O475" t="str">
        <f t="shared" si="21"/>
        <v>August</v>
      </c>
      <c r="P475">
        <f t="shared" si="22"/>
        <v>8</v>
      </c>
      <c r="Q475">
        <f t="shared" si="23"/>
        <v>2023</v>
      </c>
    </row>
    <row r="476" spans="1:17" x14ac:dyDescent="0.25">
      <c r="A476">
        <v>1019</v>
      </c>
      <c r="B476" s="1">
        <v>45170</v>
      </c>
      <c r="C476" t="s">
        <v>24</v>
      </c>
      <c r="D476" t="s">
        <v>21</v>
      </c>
      <c r="E476" s="4">
        <v>2550.84</v>
      </c>
      <c r="F476" s="2">
        <v>16</v>
      </c>
      <c r="G476" t="s">
        <v>29</v>
      </c>
      <c r="H476">
        <v>97.24</v>
      </c>
      <c r="I476">
        <v>487.03</v>
      </c>
      <c r="J476" t="s">
        <v>30</v>
      </c>
      <c r="K476" s="5">
        <v>0.22</v>
      </c>
      <c r="L476" t="s">
        <v>27</v>
      </c>
      <c r="M476" t="s">
        <v>22</v>
      </c>
      <c r="N476" t="s">
        <v>47</v>
      </c>
      <c r="O476" t="str">
        <f t="shared" si="21"/>
        <v>September</v>
      </c>
      <c r="P476">
        <f t="shared" si="22"/>
        <v>9</v>
      </c>
      <c r="Q476">
        <f t="shared" si="23"/>
        <v>2023</v>
      </c>
    </row>
    <row r="477" spans="1:17" x14ac:dyDescent="0.25">
      <c r="A477">
        <v>1092</v>
      </c>
      <c r="B477" s="1">
        <v>45263</v>
      </c>
      <c r="C477" t="s">
        <v>24</v>
      </c>
      <c r="D477" t="s">
        <v>34</v>
      </c>
      <c r="E477" s="4">
        <v>719.01</v>
      </c>
      <c r="F477" s="2">
        <v>6</v>
      </c>
      <c r="G477" t="s">
        <v>29</v>
      </c>
      <c r="H477">
        <v>422.74</v>
      </c>
      <c r="I477">
        <v>737.49</v>
      </c>
      <c r="J477" t="s">
        <v>17</v>
      </c>
      <c r="K477" s="5">
        <v>0.19</v>
      </c>
      <c r="L477" t="s">
        <v>31</v>
      </c>
      <c r="M477" t="s">
        <v>22</v>
      </c>
      <c r="N477" t="s">
        <v>50</v>
      </c>
      <c r="O477" t="str">
        <f t="shared" si="21"/>
        <v>December</v>
      </c>
      <c r="P477">
        <f t="shared" si="22"/>
        <v>12</v>
      </c>
      <c r="Q477">
        <f t="shared" si="23"/>
        <v>2023</v>
      </c>
    </row>
    <row r="478" spans="1:17" x14ac:dyDescent="0.25">
      <c r="A478">
        <v>1058</v>
      </c>
      <c r="B478" s="1">
        <v>45291</v>
      </c>
      <c r="C478" t="s">
        <v>42</v>
      </c>
      <c r="D478" t="s">
        <v>21</v>
      </c>
      <c r="E478" s="4">
        <v>4643.51</v>
      </c>
      <c r="F478" s="2">
        <v>44</v>
      </c>
      <c r="G478" t="s">
        <v>29</v>
      </c>
      <c r="H478">
        <v>1910.47</v>
      </c>
      <c r="I478">
        <v>2217.8000000000002</v>
      </c>
      <c r="J478" t="s">
        <v>30</v>
      </c>
      <c r="K478" s="5">
        <v>0.22</v>
      </c>
      <c r="L478" t="s">
        <v>27</v>
      </c>
      <c r="M478" t="s">
        <v>19</v>
      </c>
      <c r="N478" t="s">
        <v>51</v>
      </c>
      <c r="O478" t="str">
        <f t="shared" si="21"/>
        <v>December</v>
      </c>
      <c r="P478">
        <f t="shared" si="22"/>
        <v>12</v>
      </c>
      <c r="Q478">
        <f t="shared" si="23"/>
        <v>2023</v>
      </c>
    </row>
    <row r="479" spans="1:17" x14ac:dyDescent="0.25">
      <c r="A479">
        <v>1055</v>
      </c>
      <c r="B479" s="1">
        <v>45127</v>
      </c>
      <c r="C479" t="s">
        <v>38</v>
      </c>
      <c r="D479" t="s">
        <v>21</v>
      </c>
      <c r="E479" s="4">
        <v>7354.06</v>
      </c>
      <c r="F479" s="2">
        <v>43</v>
      </c>
      <c r="G479" t="s">
        <v>16</v>
      </c>
      <c r="H479">
        <v>4111.7</v>
      </c>
      <c r="I479">
        <v>4537.9399999999996</v>
      </c>
      <c r="J479" t="s">
        <v>17</v>
      </c>
      <c r="K479" s="5">
        <v>0.13</v>
      </c>
      <c r="L479" t="s">
        <v>27</v>
      </c>
      <c r="M479" t="s">
        <v>19</v>
      </c>
      <c r="N479" t="s">
        <v>41</v>
      </c>
      <c r="O479" t="str">
        <f t="shared" si="21"/>
        <v>July</v>
      </c>
      <c r="P479">
        <f t="shared" si="22"/>
        <v>7</v>
      </c>
      <c r="Q479">
        <f t="shared" si="23"/>
        <v>2023</v>
      </c>
    </row>
    <row r="480" spans="1:17" x14ac:dyDescent="0.25">
      <c r="A480">
        <v>1090</v>
      </c>
      <c r="B480" s="1">
        <v>45080</v>
      </c>
      <c r="C480" t="s">
        <v>24</v>
      </c>
      <c r="D480" t="s">
        <v>25</v>
      </c>
      <c r="E480" s="4">
        <v>6106.64</v>
      </c>
      <c r="F480" s="2">
        <v>47</v>
      </c>
      <c r="G480" t="s">
        <v>16</v>
      </c>
      <c r="H480">
        <v>85.35</v>
      </c>
      <c r="I480">
        <v>360.539999999999</v>
      </c>
      <c r="J480" t="s">
        <v>30</v>
      </c>
      <c r="K480" s="5">
        <v>0.28000000000000003</v>
      </c>
      <c r="L480" t="s">
        <v>18</v>
      </c>
      <c r="M480" t="s">
        <v>19</v>
      </c>
      <c r="N480" t="s">
        <v>28</v>
      </c>
      <c r="O480" t="str">
        <f t="shared" si="21"/>
        <v>June</v>
      </c>
      <c r="P480">
        <f t="shared" si="22"/>
        <v>6</v>
      </c>
      <c r="Q480">
        <f t="shared" si="23"/>
        <v>2023</v>
      </c>
    </row>
    <row r="481" spans="1:17" x14ac:dyDescent="0.25">
      <c r="A481">
        <v>1090</v>
      </c>
      <c r="B481" s="1">
        <v>44999</v>
      </c>
      <c r="C481" t="s">
        <v>24</v>
      </c>
      <c r="D481" t="s">
        <v>34</v>
      </c>
      <c r="E481" s="4">
        <v>6761.43</v>
      </c>
      <c r="F481" s="2">
        <v>47</v>
      </c>
      <c r="G481" t="s">
        <v>16</v>
      </c>
      <c r="H481">
        <v>2310.8200000000002</v>
      </c>
      <c r="I481">
        <v>2714.71</v>
      </c>
      <c r="J481" t="s">
        <v>30</v>
      </c>
      <c r="K481" s="5">
        <v>0.19</v>
      </c>
      <c r="L481" t="s">
        <v>18</v>
      </c>
      <c r="M481" t="s">
        <v>22</v>
      </c>
      <c r="N481" t="s">
        <v>50</v>
      </c>
      <c r="O481" t="str">
        <f t="shared" si="21"/>
        <v>March</v>
      </c>
      <c r="P481">
        <f t="shared" si="22"/>
        <v>3</v>
      </c>
      <c r="Q481">
        <f t="shared" si="23"/>
        <v>2023</v>
      </c>
    </row>
    <row r="482" spans="1:17" x14ac:dyDescent="0.25">
      <c r="A482">
        <v>1062</v>
      </c>
      <c r="B482" s="1">
        <v>45127</v>
      </c>
      <c r="C482" t="s">
        <v>38</v>
      </c>
      <c r="D482" t="s">
        <v>15</v>
      </c>
      <c r="E482" s="4">
        <v>903.38</v>
      </c>
      <c r="F482" s="2">
        <v>48</v>
      </c>
      <c r="G482" t="s">
        <v>35</v>
      </c>
      <c r="H482">
        <v>1679.69</v>
      </c>
      <c r="I482">
        <v>1939.04</v>
      </c>
      <c r="J482" t="s">
        <v>30</v>
      </c>
      <c r="K482" s="5">
        <v>0.09</v>
      </c>
      <c r="L482" t="s">
        <v>31</v>
      </c>
      <c r="M482" t="s">
        <v>19</v>
      </c>
      <c r="N482" t="s">
        <v>40</v>
      </c>
      <c r="O482" t="str">
        <f t="shared" si="21"/>
        <v>July</v>
      </c>
      <c r="P482">
        <f t="shared" si="22"/>
        <v>7</v>
      </c>
      <c r="Q482">
        <f t="shared" si="23"/>
        <v>2023</v>
      </c>
    </row>
    <row r="483" spans="1:17" x14ac:dyDescent="0.25">
      <c r="A483">
        <v>1023</v>
      </c>
      <c r="B483" s="1">
        <v>45222</v>
      </c>
      <c r="C483" t="s">
        <v>24</v>
      </c>
      <c r="D483" t="s">
        <v>25</v>
      </c>
      <c r="E483" s="4">
        <v>9519.76</v>
      </c>
      <c r="F483" s="2">
        <v>42</v>
      </c>
      <c r="G483" t="s">
        <v>26</v>
      </c>
      <c r="H483">
        <v>309.77999999999997</v>
      </c>
      <c r="I483">
        <v>350.38</v>
      </c>
      <c r="J483" t="s">
        <v>17</v>
      </c>
      <c r="K483" s="5">
        <v>0.19</v>
      </c>
      <c r="L483" t="s">
        <v>31</v>
      </c>
      <c r="M483" t="s">
        <v>22</v>
      </c>
      <c r="N483" t="s">
        <v>28</v>
      </c>
      <c r="O483" t="str">
        <f t="shared" si="21"/>
        <v>October</v>
      </c>
      <c r="P483">
        <f t="shared" si="22"/>
        <v>10</v>
      </c>
      <c r="Q483">
        <f t="shared" si="23"/>
        <v>2023</v>
      </c>
    </row>
    <row r="484" spans="1:17" x14ac:dyDescent="0.25">
      <c r="A484">
        <v>1009</v>
      </c>
      <c r="B484" s="1">
        <v>44943</v>
      </c>
      <c r="C484" t="s">
        <v>24</v>
      </c>
      <c r="D484" t="s">
        <v>21</v>
      </c>
      <c r="E484" s="4">
        <v>8401.07</v>
      </c>
      <c r="F484" s="2">
        <v>12</v>
      </c>
      <c r="G484" t="s">
        <v>16</v>
      </c>
      <c r="H484">
        <v>2278.67</v>
      </c>
      <c r="I484">
        <v>2476.8000000000002</v>
      </c>
      <c r="J484" t="s">
        <v>30</v>
      </c>
      <c r="K484" s="5">
        <v>0.09</v>
      </c>
      <c r="L484" t="s">
        <v>18</v>
      </c>
      <c r="M484" t="s">
        <v>22</v>
      </c>
      <c r="N484" t="s">
        <v>47</v>
      </c>
      <c r="O484" t="str">
        <f t="shared" si="21"/>
        <v>January</v>
      </c>
      <c r="P484">
        <f t="shared" si="22"/>
        <v>1</v>
      </c>
      <c r="Q484">
        <f t="shared" si="23"/>
        <v>2023</v>
      </c>
    </row>
    <row r="485" spans="1:17" x14ac:dyDescent="0.25">
      <c r="A485">
        <v>1012</v>
      </c>
      <c r="B485" s="1">
        <v>45055</v>
      </c>
      <c r="C485" t="s">
        <v>24</v>
      </c>
      <c r="D485" t="s">
        <v>21</v>
      </c>
      <c r="E485" s="4">
        <v>8070.39</v>
      </c>
      <c r="F485" s="2">
        <v>13</v>
      </c>
      <c r="G485" t="s">
        <v>26</v>
      </c>
      <c r="H485">
        <v>1311.01</v>
      </c>
      <c r="I485">
        <v>1538.79</v>
      </c>
      <c r="J485" t="s">
        <v>17</v>
      </c>
      <c r="K485" s="5">
        <v>0.09</v>
      </c>
      <c r="L485" t="s">
        <v>27</v>
      </c>
      <c r="M485" t="s">
        <v>22</v>
      </c>
      <c r="N485" t="s">
        <v>47</v>
      </c>
      <c r="O485" t="str">
        <f t="shared" si="21"/>
        <v>May</v>
      </c>
      <c r="P485">
        <f t="shared" si="22"/>
        <v>5</v>
      </c>
      <c r="Q485">
        <f t="shared" si="23"/>
        <v>2023</v>
      </c>
    </row>
    <row r="486" spans="1:17" x14ac:dyDescent="0.25">
      <c r="A486">
        <v>1001</v>
      </c>
      <c r="B486" s="1">
        <v>45143</v>
      </c>
      <c r="C486" t="s">
        <v>14</v>
      </c>
      <c r="D486" t="s">
        <v>15</v>
      </c>
      <c r="E486" s="4">
        <v>8247.5400000000009</v>
      </c>
      <c r="F486" s="2">
        <v>4</v>
      </c>
      <c r="G486" t="s">
        <v>26</v>
      </c>
      <c r="H486">
        <v>1791.83</v>
      </c>
      <c r="I486">
        <v>1871.22</v>
      </c>
      <c r="J486" t="s">
        <v>17</v>
      </c>
      <c r="K486" s="5">
        <v>0.12</v>
      </c>
      <c r="L486" t="s">
        <v>27</v>
      </c>
      <c r="M486" t="s">
        <v>19</v>
      </c>
      <c r="N486" t="s">
        <v>20</v>
      </c>
      <c r="O486" t="str">
        <f t="shared" si="21"/>
        <v>August</v>
      </c>
      <c r="P486">
        <f t="shared" si="22"/>
        <v>8</v>
      </c>
      <c r="Q486">
        <f t="shared" si="23"/>
        <v>2023</v>
      </c>
    </row>
    <row r="487" spans="1:17" x14ac:dyDescent="0.25">
      <c r="A487">
        <v>1058</v>
      </c>
      <c r="B487" s="1">
        <v>44987</v>
      </c>
      <c r="C487" t="s">
        <v>38</v>
      </c>
      <c r="D487" t="s">
        <v>21</v>
      </c>
      <c r="E487" s="4">
        <v>9333.83</v>
      </c>
      <c r="F487" s="2">
        <v>39</v>
      </c>
      <c r="G487" t="s">
        <v>26</v>
      </c>
      <c r="H487">
        <v>3542.8</v>
      </c>
      <c r="I487">
        <v>3603.02</v>
      </c>
      <c r="J487" t="s">
        <v>17</v>
      </c>
      <c r="K487" s="5">
        <v>0.26</v>
      </c>
      <c r="L487" t="s">
        <v>18</v>
      </c>
      <c r="M487" t="s">
        <v>19</v>
      </c>
      <c r="N487" t="s">
        <v>41</v>
      </c>
      <c r="O487" t="str">
        <f t="shared" si="21"/>
        <v>March</v>
      </c>
      <c r="P487">
        <f t="shared" si="22"/>
        <v>3</v>
      </c>
      <c r="Q487">
        <f t="shared" si="23"/>
        <v>2023</v>
      </c>
    </row>
    <row r="488" spans="1:17" x14ac:dyDescent="0.25">
      <c r="A488">
        <v>1001</v>
      </c>
      <c r="B488" s="1">
        <v>45030</v>
      </c>
      <c r="C488" t="s">
        <v>24</v>
      </c>
      <c r="D488" t="s">
        <v>34</v>
      </c>
      <c r="E488" s="4">
        <v>5488.11</v>
      </c>
      <c r="F488" s="2">
        <v>2</v>
      </c>
      <c r="G488" t="s">
        <v>35</v>
      </c>
      <c r="H488">
        <v>2631.68</v>
      </c>
      <c r="I488">
        <v>2904.06</v>
      </c>
      <c r="J488" t="s">
        <v>30</v>
      </c>
      <c r="K488" s="5">
        <v>0.15</v>
      </c>
      <c r="L488" t="s">
        <v>27</v>
      </c>
      <c r="M488" t="s">
        <v>19</v>
      </c>
      <c r="N488" t="s">
        <v>50</v>
      </c>
      <c r="O488" t="str">
        <f t="shared" si="21"/>
        <v>April</v>
      </c>
      <c r="P488">
        <f t="shared" si="22"/>
        <v>4</v>
      </c>
      <c r="Q488">
        <f t="shared" si="23"/>
        <v>2023</v>
      </c>
    </row>
    <row r="489" spans="1:17" x14ac:dyDescent="0.25">
      <c r="A489">
        <v>1034</v>
      </c>
      <c r="B489" s="1">
        <v>44968</v>
      </c>
      <c r="C489" t="s">
        <v>38</v>
      </c>
      <c r="D489" t="s">
        <v>25</v>
      </c>
      <c r="E489" s="4">
        <v>2082.79</v>
      </c>
      <c r="F489" s="2">
        <v>26</v>
      </c>
      <c r="G489" t="s">
        <v>35</v>
      </c>
      <c r="H489">
        <v>667</v>
      </c>
      <c r="I489">
        <v>718.72</v>
      </c>
      <c r="J489" t="s">
        <v>30</v>
      </c>
      <c r="K489" s="5">
        <v>0.2</v>
      </c>
      <c r="L489" t="s">
        <v>18</v>
      </c>
      <c r="M489" t="s">
        <v>22</v>
      </c>
      <c r="N489" t="s">
        <v>39</v>
      </c>
      <c r="O489" t="str">
        <f t="shared" si="21"/>
        <v>February</v>
      </c>
      <c r="P489">
        <f t="shared" si="22"/>
        <v>2</v>
      </c>
      <c r="Q489">
        <f t="shared" si="23"/>
        <v>2023</v>
      </c>
    </row>
    <row r="490" spans="1:17" x14ac:dyDescent="0.25">
      <c r="A490">
        <v>1096</v>
      </c>
      <c r="B490" s="1">
        <v>44951</v>
      </c>
      <c r="C490" t="s">
        <v>33</v>
      </c>
      <c r="D490" t="s">
        <v>21</v>
      </c>
      <c r="E490" s="4">
        <v>6206.16</v>
      </c>
      <c r="F490" s="2">
        <v>27</v>
      </c>
      <c r="G490" t="s">
        <v>29</v>
      </c>
      <c r="H490">
        <v>4809</v>
      </c>
      <c r="I490">
        <v>4967.4399999999996</v>
      </c>
      <c r="J490" t="s">
        <v>30</v>
      </c>
      <c r="K490" s="5">
        <v>0.12</v>
      </c>
      <c r="L490" t="s">
        <v>18</v>
      </c>
      <c r="M490" t="s">
        <v>19</v>
      </c>
      <c r="N490" t="s">
        <v>37</v>
      </c>
      <c r="O490" t="str">
        <f t="shared" si="21"/>
        <v>January</v>
      </c>
      <c r="P490">
        <f t="shared" si="22"/>
        <v>1</v>
      </c>
      <c r="Q490">
        <f t="shared" si="23"/>
        <v>2023</v>
      </c>
    </row>
    <row r="491" spans="1:17" x14ac:dyDescent="0.25">
      <c r="A491">
        <v>1048</v>
      </c>
      <c r="B491" s="1">
        <v>44965</v>
      </c>
      <c r="C491" t="s">
        <v>33</v>
      </c>
      <c r="D491" t="s">
        <v>21</v>
      </c>
      <c r="E491" s="4">
        <v>7454.53</v>
      </c>
      <c r="F491" s="2">
        <v>27</v>
      </c>
      <c r="G491" t="s">
        <v>29</v>
      </c>
      <c r="H491">
        <v>3197.76</v>
      </c>
      <c r="I491">
        <v>3572.61</v>
      </c>
      <c r="J491" t="s">
        <v>17</v>
      </c>
      <c r="K491" s="5">
        <v>0.08</v>
      </c>
      <c r="L491" t="s">
        <v>31</v>
      </c>
      <c r="M491" t="s">
        <v>19</v>
      </c>
      <c r="N491" t="s">
        <v>37</v>
      </c>
      <c r="O491" t="str">
        <f t="shared" si="21"/>
        <v>February</v>
      </c>
      <c r="P491">
        <f t="shared" si="22"/>
        <v>2</v>
      </c>
      <c r="Q491">
        <f t="shared" si="23"/>
        <v>2023</v>
      </c>
    </row>
    <row r="492" spans="1:17" x14ac:dyDescent="0.25">
      <c r="A492">
        <v>1089</v>
      </c>
      <c r="B492" s="1">
        <v>45217</v>
      </c>
      <c r="C492" t="s">
        <v>24</v>
      </c>
      <c r="D492" t="s">
        <v>15</v>
      </c>
      <c r="E492" s="4">
        <v>7405.38</v>
      </c>
      <c r="F492" s="2">
        <v>15</v>
      </c>
      <c r="G492" t="s">
        <v>26</v>
      </c>
      <c r="H492">
        <v>3841.05</v>
      </c>
      <c r="I492">
        <v>4323.62</v>
      </c>
      <c r="J492" t="s">
        <v>17</v>
      </c>
      <c r="K492" s="5">
        <v>0.28999999999999998</v>
      </c>
      <c r="L492" t="s">
        <v>31</v>
      </c>
      <c r="M492" t="s">
        <v>22</v>
      </c>
      <c r="N492" t="s">
        <v>45</v>
      </c>
      <c r="O492" t="str">
        <f t="shared" si="21"/>
        <v>October</v>
      </c>
      <c r="P492">
        <f t="shared" si="22"/>
        <v>10</v>
      </c>
      <c r="Q492">
        <f t="shared" si="23"/>
        <v>2023</v>
      </c>
    </row>
    <row r="493" spans="1:17" x14ac:dyDescent="0.25">
      <c r="A493">
        <v>1001</v>
      </c>
      <c r="B493" s="1">
        <v>45057</v>
      </c>
      <c r="C493" t="s">
        <v>38</v>
      </c>
      <c r="D493" t="s">
        <v>34</v>
      </c>
      <c r="E493" s="4">
        <v>5262.35</v>
      </c>
      <c r="F493" s="2">
        <v>8</v>
      </c>
      <c r="G493" t="s">
        <v>29</v>
      </c>
      <c r="H493">
        <v>442.11</v>
      </c>
      <c r="I493">
        <v>803.87</v>
      </c>
      <c r="J493" t="s">
        <v>30</v>
      </c>
      <c r="K493" s="5">
        <v>0.18</v>
      </c>
      <c r="L493" t="s">
        <v>18</v>
      </c>
      <c r="M493" t="s">
        <v>22</v>
      </c>
      <c r="N493" t="s">
        <v>48</v>
      </c>
      <c r="O493" t="str">
        <f t="shared" si="21"/>
        <v>May</v>
      </c>
      <c r="P493">
        <f t="shared" si="22"/>
        <v>5</v>
      </c>
      <c r="Q493">
        <f t="shared" si="23"/>
        <v>2023</v>
      </c>
    </row>
    <row r="494" spans="1:17" x14ac:dyDescent="0.25">
      <c r="A494">
        <v>1016</v>
      </c>
      <c r="B494" s="1">
        <v>45155</v>
      </c>
      <c r="C494" t="s">
        <v>38</v>
      </c>
      <c r="D494" t="s">
        <v>21</v>
      </c>
      <c r="E494" s="4">
        <v>777.74</v>
      </c>
      <c r="F494" s="2">
        <v>7</v>
      </c>
      <c r="G494" t="s">
        <v>26</v>
      </c>
      <c r="H494">
        <v>282.94</v>
      </c>
      <c r="I494">
        <v>779.32999999999902</v>
      </c>
      <c r="J494" t="s">
        <v>17</v>
      </c>
      <c r="K494" s="5">
        <v>0.28000000000000003</v>
      </c>
      <c r="L494" t="s">
        <v>31</v>
      </c>
      <c r="M494" t="s">
        <v>19</v>
      </c>
      <c r="N494" t="s">
        <v>41</v>
      </c>
      <c r="O494" t="str">
        <f t="shared" si="21"/>
        <v>August</v>
      </c>
      <c r="P494">
        <f t="shared" si="22"/>
        <v>8</v>
      </c>
      <c r="Q494">
        <f t="shared" si="23"/>
        <v>2023</v>
      </c>
    </row>
    <row r="495" spans="1:17" x14ac:dyDescent="0.25">
      <c r="A495">
        <v>1061</v>
      </c>
      <c r="B495" s="1">
        <v>45034</v>
      </c>
      <c r="C495" t="s">
        <v>38</v>
      </c>
      <c r="D495" t="s">
        <v>15</v>
      </c>
      <c r="E495" s="4">
        <v>3774.02</v>
      </c>
      <c r="F495" s="2">
        <v>47</v>
      </c>
      <c r="G495" t="s">
        <v>35</v>
      </c>
      <c r="H495">
        <v>146.27000000000001</v>
      </c>
      <c r="I495">
        <v>498.46</v>
      </c>
      <c r="J495" t="s">
        <v>30</v>
      </c>
      <c r="K495" s="5">
        <v>0.06</v>
      </c>
      <c r="L495" t="s">
        <v>18</v>
      </c>
      <c r="M495" t="s">
        <v>22</v>
      </c>
      <c r="N495" t="s">
        <v>40</v>
      </c>
      <c r="O495" t="str">
        <f t="shared" si="21"/>
        <v>April</v>
      </c>
      <c r="P495">
        <f t="shared" si="22"/>
        <v>4</v>
      </c>
      <c r="Q495">
        <f t="shared" si="23"/>
        <v>2023</v>
      </c>
    </row>
    <row r="496" spans="1:17" x14ac:dyDescent="0.25">
      <c r="A496">
        <v>1064</v>
      </c>
      <c r="B496" s="1">
        <v>45098</v>
      </c>
      <c r="C496" t="s">
        <v>14</v>
      </c>
      <c r="D496" t="s">
        <v>21</v>
      </c>
      <c r="E496" s="4">
        <v>9215.59</v>
      </c>
      <c r="F496" s="2">
        <v>46</v>
      </c>
      <c r="G496" t="s">
        <v>35</v>
      </c>
      <c r="H496">
        <v>984.53</v>
      </c>
      <c r="I496">
        <v>1138.49</v>
      </c>
      <c r="J496" t="s">
        <v>30</v>
      </c>
      <c r="K496" s="5">
        <v>0.04</v>
      </c>
      <c r="L496" t="s">
        <v>27</v>
      </c>
      <c r="M496" t="s">
        <v>19</v>
      </c>
      <c r="N496" t="s">
        <v>23</v>
      </c>
      <c r="O496" t="str">
        <f t="shared" si="21"/>
        <v>June</v>
      </c>
      <c r="P496">
        <f t="shared" si="22"/>
        <v>6</v>
      </c>
      <c r="Q496">
        <f t="shared" si="23"/>
        <v>2023</v>
      </c>
    </row>
    <row r="497" spans="1:17" x14ac:dyDescent="0.25">
      <c r="A497">
        <v>1063</v>
      </c>
      <c r="B497" s="1">
        <v>45028</v>
      </c>
      <c r="C497" t="s">
        <v>33</v>
      </c>
      <c r="D497" t="s">
        <v>15</v>
      </c>
      <c r="E497" s="4">
        <v>5886.04</v>
      </c>
      <c r="F497" s="2">
        <v>40</v>
      </c>
      <c r="G497" t="s">
        <v>35</v>
      </c>
      <c r="H497">
        <v>2101.3200000000002</v>
      </c>
      <c r="I497">
        <v>2440.63</v>
      </c>
      <c r="J497" t="s">
        <v>30</v>
      </c>
      <c r="K497" s="5">
        <v>0.26</v>
      </c>
      <c r="L497" t="s">
        <v>27</v>
      </c>
      <c r="M497" t="s">
        <v>22</v>
      </c>
      <c r="N497" t="s">
        <v>53</v>
      </c>
      <c r="O497" t="str">
        <f t="shared" si="21"/>
        <v>April</v>
      </c>
      <c r="P497">
        <f t="shared" si="22"/>
        <v>4</v>
      </c>
      <c r="Q497">
        <f t="shared" si="23"/>
        <v>2023</v>
      </c>
    </row>
    <row r="498" spans="1:17" x14ac:dyDescent="0.25">
      <c r="A498">
        <v>1069</v>
      </c>
      <c r="B498" s="1">
        <v>45280</v>
      </c>
      <c r="C498" t="s">
        <v>38</v>
      </c>
      <c r="D498" t="s">
        <v>15</v>
      </c>
      <c r="E498" s="4">
        <v>5429.49</v>
      </c>
      <c r="F498" s="2">
        <v>12</v>
      </c>
      <c r="G498" t="s">
        <v>16</v>
      </c>
      <c r="H498">
        <v>4682.34</v>
      </c>
      <c r="I498">
        <v>5036.3999999999996</v>
      </c>
      <c r="J498" t="s">
        <v>30</v>
      </c>
      <c r="K498" s="5">
        <v>0.2</v>
      </c>
      <c r="L498" t="s">
        <v>27</v>
      </c>
      <c r="M498" t="s">
        <v>22</v>
      </c>
      <c r="N498" t="s">
        <v>40</v>
      </c>
      <c r="O498" t="str">
        <f t="shared" si="21"/>
        <v>December</v>
      </c>
      <c r="P498">
        <f t="shared" si="22"/>
        <v>12</v>
      </c>
      <c r="Q498">
        <f t="shared" si="23"/>
        <v>2023</v>
      </c>
    </row>
    <row r="499" spans="1:17" x14ac:dyDescent="0.25">
      <c r="A499">
        <v>1022</v>
      </c>
      <c r="B499" s="1">
        <v>44938</v>
      </c>
      <c r="C499" t="s">
        <v>38</v>
      </c>
      <c r="D499" t="s">
        <v>34</v>
      </c>
      <c r="E499" s="4">
        <v>2761.65</v>
      </c>
      <c r="F499" s="2">
        <v>13</v>
      </c>
      <c r="G499" t="s">
        <v>26</v>
      </c>
      <c r="H499">
        <v>2312.4499999999998</v>
      </c>
      <c r="I499">
        <v>2504.6</v>
      </c>
      <c r="J499" t="s">
        <v>17</v>
      </c>
      <c r="K499" s="5">
        <v>0.06</v>
      </c>
      <c r="L499" t="s">
        <v>27</v>
      </c>
      <c r="M499" t="s">
        <v>19</v>
      </c>
      <c r="N499" t="s">
        <v>48</v>
      </c>
      <c r="O499" t="str">
        <f t="shared" si="21"/>
        <v>January</v>
      </c>
      <c r="P499">
        <f t="shared" si="22"/>
        <v>1</v>
      </c>
      <c r="Q499">
        <f t="shared" si="23"/>
        <v>2023</v>
      </c>
    </row>
    <row r="500" spans="1:17" x14ac:dyDescent="0.25">
      <c r="A500">
        <v>1093</v>
      </c>
      <c r="B500" s="1">
        <v>45201</v>
      </c>
      <c r="C500" t="s">
        <v>14</v>
      </c>
      <c r="D500" t="s">
        <v>21</v>
      </c>
      <c r="E500" s="4">
        <v>3747.64</v>
      </c>
      <c r="F500" s="2">
        <v>43</v>
      </c>
      <c r="G500" t="s">
        <v>35</v>
      </c>
      <c r="H500">
        <v>1486.76</v>
      </c>
      <c r="I500">
        <v>1505.44</v>
      </c>
      <c r="J500" t="s">
        <v>30</v>
      </c>
      <c r="K500" s="5">
        <v>0.08</v>
      </c>
      <c r="L500" t="s">
        <v>18</v>
      </c>
      <c r="M500" t="s">
        <v>22</v>
      </c>
      <c r="N500" t="s">
        <v>23</v>
      </c>
      <c r="O500" t="str">
        <f t="shared" si="21"/>
        <v>October</v>
      </c>
      <c r="P500">
        <f t="shared" si="22"/>
        <v>10</v>
      </c>
      <c r="Q500">
        <f t="shared" si="23"/>
        <v>2023</v>
      </c>
    </row>
    <row r="501" spans="1:17" x14ac:dyDescent="0.25">
      <c r="A501">
        <v>1067</v>
      </c>
      <c r="B501" s="1">
        <v>45027</v>
      </c>
      <c r="C501" t="s">
        <v>14</v>
      </c>
      <c r="D501" t="s">
        <v>34</v>
      </c>
      <c r="E501" s="4">
        <v>8963.93</v>
      </c>
      <c r="F501" s="2">
        <v>17</v>
      </c>
      <c r="G501" t="s">
        <v>26</v>
      </c>
      <c r="H501">
        <v>2831.58</v>
      </c>
      <c r="I501">
        <v>3186.15</v>
      </c>
      <c r="J501" t="s">
        <v>30</v>
      </c>
      <c r="K501" s="5">
        <v>0.24</v>
      </c>
      <c r="L501" t="s">
        <v>27</v>
      </c>
      <c r="M501" t="s">
        <v>22</v>
      </c>
      <c r="N501" t="s">
        <v>46</v>
      </c>
      <c r="O501" t="str">
        <f t="shared" si="21"/>
        <v>April</v>
      </c>
      <c r="P501">
        <f t="shared" si="22"/>
        <v>4</v>
      </c>
      <c r="Q501">
        <f t="shared" si="23"/>
        <v>2023</v>
      </c>
    </row>
    <row r="502" spans="1:17" x14ac:dyDescent="0.25">
      <c r="A502">
        <v>1076</v>
      </c>
      <c r="B502" s="1">
        <v>44970</v>
      </c>
      <c r="C502" t="s">
        <v>38</v>
      </c>
      <c r="D502" t="s">
        <v>15</v>
      </c>
      <c r="E502" s="4">
        <v>6697.98</v>
      </c>
      <c r="F502" s="2">
        <v>17</v>
      </c>
      <c r="G502" t="s">
        <v>29</v>
      </c>
      <c r="H502">
        <v>604.08000000000004</v>
      </c>
      <c r="I502">
        <v>624.71</v>
      </c>
      <c r="J502" t="s">
        <v>30</v>
      </c>
      <c r="K502" s="5">
        <v>0.14000000000000001</v>
      </c>
      <c r="L502" t="s">
        <v>27</v>
      </c>
      <c r="M502" t="s">
        <v>22</v>
      </c>
      <c r="N502" t="s">
        <v>40</v>
      </c>
      <c r="O502" t="str">
        <f t="shared" si="21"/>
        <v>February</v>
      </c>
      <c r="P502">
        <f t="shared" si="22"/>
        <v>2</v>
      </c>
      <c r="Q502">
        <f t="shared" si="23"/>
        <v>2023</v>
      </c>
    </row>
    <row r="503" spans="1:17" x14ac:dyDescent="0.25">
      <c r="A503">
        <v>1026</v>
      </c>
      <c r="B503" s="1">
        <v>45231</v>
      </c>
      <c r="C503" t="s">
        <v>42</v>
      </c>
      <c r="D503" t="s">
        <v>25</v>
      </c>
      <c r="E503" s="4">
        <v>7895.13</v>
      </c>
      <c r="F503" s="2">
        <v>36</v>
      </c>
      <c r="G503" t="s">
        <v>29</v>
      </c>
      <c r="H503">
        <v>3067.05</v>
      </c>
      <c r="I503">
        <v>3386.33</v>
      </c>
      <c r="J503" t="s">
        <v>30</v>
      </c>
      <c r="K503" s="5">
        <v>0.2</v>
      </c>
      <c r="L503" t="s">
        <v>27</v>
      </c>
      <c r="M503" t="s">
        <v>19</v>
      </c>
      <c r="N503" t="s">
        <v>43</v>
      </c>
      <c r="O503" t="str">
        <f t="shared" si="21"/>
        <v>November</v>
      </c>
      <c r="P503">
        <f t="shared" si="22"/>
        <v>11</v>
      </c>
      <c r="Q503">
        <f t="shared" si="23"/>
        <v>2023</v>
      </c>
    </row>
    <row r="504" spans="1:17" x14ac:dyDescent="0.25">
      <c r="A504">
        <v>1016</v>
      </c>
      <c r="B504" s="1">
        <v>44943</v>
      </c>
      <c r="C504" t="s">
        <v>38</v>
      </c>
      <c r="D504" t="s">
        <v>21</v>
      </c>
      <c r="E504" s="4">
        <v>4598.0200000000004</v>
      </c>
      <c r="F504" s="2">
        <v>21</v>
      </c>
      <c r="G504" t="s">
        <v>35</v>
      </c>
      <c r="H504">
        <v>2863.74</v>
      </c>
      <c r="I504">
        <v>2953.91</v>
      </c>
      <c r="J504" t="s">
        <v>30</v>
      </c>
      <c r="K504" s="5">
        <v>0.1</v>
      </c>
      <c r="L504" t="s">
        <v>27</v>
      </c>
      <c r="M504" t="s">
        <v>22</v>
      </c>
      <c r="N504" t="s">
        <v>41</v>
      </c>
      <c r="O504" t="str">
        <f t="shared" si="21"/>
        <v>January</v>
      </c>
      <c r="P504">
        <f t="shared" si="22"/>
        <v>1</v>
      </c>
      <c r="Q504">
        <f t="shared" si="23"/>
        <v>2023</v>
      </c>
    </row>
    <row r="505" spans="1:17" x14ac:dyDescent="0.25">
      <c r="A505">
        <v>1051</v>
      </c>
      <c r="B505" s="1">
        <v>45256</v>
      </c>
      <c r="C505" t="s">
        <v>38</v>
      </c>
      <c r="D505" t="s">
        <v>25</v>
      </c>
      <c r="E505" s="4">
        <v>6339.45</v>
      </c>
      <c r="F505" s="2">
        <v>8</v>
      </c>
      <c r="G505" t="s">
        <v>26</v>
      </c>
      <c r="H505">
        <v>3970.37</v>
      </c>
      <c r="I505">
        <v>4257.5199999999904</v>
      </c>
      <c r="J505" t="s">
        <v>30</v>
      </c>
      <c r="K505" s="5">
        <v>0.11</v>
      </c>
      <c r="L505" t="s">
        <v>18</v>
      </c>
      <c r="M505" t="s">
        <v>22</v>
      </c>
      <c r="N505" t="s">
        <v>39</v>
      </c>
      <c r="O505" t="str">
        <f t="shared" si="21"/>
        <v>November</v>
      </c>
      <c r="P505">
        <f t="shared" si="22"/>
        <v>11</v>
      </c>
      <c r="Q505">
        <f t="shared" si="23"/>
        <v>2023</v>
      </c>
    </row>
    <row r="506" spans="1:17" x14ac:dyDescent="0.25">
      <c r="A506">
        <v>1086</v>
      </c>
      <c r="B506" s="1">
        <v>44983</v>
      </c>
      <c r="C506" t="s">
        <v>14</v>
      </c>
      <c r="D506" t="s">
        <v>21</v>
      </c>
      <c r="E506" s="4">
        <v>2559</v>
      </c>
      <c r="F506" s="2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 s="5">
        <v>0.3</v>
      </c>
      <c r="L506" t="s">
        <v>27</v>
      </c>
      <c r="M506" t="s">
        <v>19</v>
      </c>
      <c r="N506" t="s">
        <v>23</v>
      </c>
      <c r="O506" t="str">
        <f t="shared" si="21"/>
        <v>February</v>
      </c>
      <c r="P506">
        <f t="shared" si="22"/>
        <v>2</v>
      </c>
      <c r="Q506">
        <f t="shared" si="23"/>
        <v>2023</v>
      </c>
    </row>
    <row r="507" spans="1:17" x14ac:dyDescent="0.25">
      <c r="A507">
        <v>1057</v>
      </c>
      <c r="B507" s="1">
        <v>45237</v>
      </c>
      <c r="C507" t="s">
        <v>14</v>
      </c>
      <c r="D507" t="s">
        <v>34</v>
      </c>
      <c r="E507" s="4">
        <v>7084.06</v>
      </c>
      <c r="F507" s="2">
        <v>26</v>
      </c>
      <c r="G507" t="s">
        <v>29</v>
      </c>
      <c r="H507">
        <v>1291.82</v>
      </c>
      <c r="I507">
        <v>1308.4399999999901</v>
      </c>
      <c r="J507" t="s">
        <v>17</v>
      </c>
      <c r="K507" s="5">
        <v>7.0000000000000007E-2</v>
      </c>
      <c r="L507" t="s">
        <v>31</v>
      </c>
      <c r="M507" t="s">
        <v>19</v>
      </c>
      <c r="N507" t="s">
        <v>46</v>
      </c>
      <c r="O507" t="str">
        <f t="shared" si="21"/>
        <v>November</v>
      </c>
      <c r="P507">
        <f t="shared" si="22"/>
        <v>11</v>
      </c>
      <c r="Q507">
        <f t="shared" si="23"/>
        <v>2023</v>
      </c>
    </row>
    <row r="508" spans="1:17" x14ac:dyDescent="0.25">
      <c r="A508">
        <v>1029</v>
      </c>
      <c r="B508" s="1">
        <v>45229</v>
      </c>
      <c r="C508" t="s">
        <v>38</v>
      </c>
      <c r="D508" t="s">
        <v>34</v>
      </c>
      <c r="E508" s="4">
        <v>4333.25</v>
      </c>
      <c r="F508" s="2">
        <v>16</v>
      </c>
      <c r="G508" t="s">
        <v>35</v>
      </c>
      <c r="H508">
        <v>2572.8000000000002</v>
      </c>
      <c r="I508">
        <v>2760.6</v>
      </c>
      <c r="J508" t="s">
        <v>17</v>
      </c>
      <c r="K508" s="5">
        <v>0.15</v>
      </c>
      <c r="L508" t="s">
        <v>31</v>
      </c>
      <c r="M508" t="s">
        <v>22</v>
      </c>
      <c r="N508" t="s">
        <v>48</v>
      </c>
      <c r="O508" t="str">
        <f t="shared" si="21"/>
        <v>October</v>
      </c>
      <c r="P508">
        <f t="shared" si="22"/>
        <v>10</v>
      </c>
      <c r="Q508">
        <f t="shared" si="23"/>
        <v>2023</v>
      </c>
    </row>
    <row r="509" spans="1:17" x14ac:dyDescent="0.25">
      <c r="A509">
        <v>1078</v>
      </c>
      <c r="B509" s="1">
        <v>44938</v>
      </c>
      <c r="C509" t="s">
        <v>38</v>
      </c>
      <c r="D509" t="s">
        <v>34</v>
      </c>
      <c r="E509" s="4">
        <v>4481.2</v>
      </c>
      <c r="F509" s="2">
        <v>36</v>
      </c>
      <c r="G509" t="s">
        <v>26</v>
      </c>
      <c r="H509">
        <v>4548.88</v>
      </c>
      <c r="I509">
        <v>4853.41</v>
      </c>
      <c r="J509" t="s">
        <v>17</v>
      </c>
      <c r="K509" s="5">
        <v>0.25</v>
      </c>
      <c r="L509" t="s">
        <v>31</v>
      </c>
      <c r="M509" t="s">
        <v>22</v>
      </c>
      <c r="N509" t="s">
        <v>48</v>
      </c>
      <c r="O509" t="str">
        <f t="shared" si="21"/>
        <v>January</v>
      </c>
      <c r="P509">
        <f t="shared" si="22"/>
        <v>1</v>
      </c>
      <c r="Q509">
        <f t="shared" si="23"/>
        <v>2023</v>
      </c>
    </row>
    <row r="510" spans="1:17" x14ac:dyDescent="0.25">
      <c r="A510">
        <v>1092</v>
      </c>
      <c r="B510" s="1">
        <v>45244</v>
      </c>
      <c r="C510" t="s">
        <v>38</v>
      </c>
      <c r="D510" t="s">
        <v>34</v>
      </c>
      <c r="E510" s="4">
        <v>6528.29</v>
      </c>
      <c r="F510" s="2">
        <v>28</v>
      </c>
      <c r="G510" t="s">
        <v>29</v>
      </c>
      <c r="H510">
        <v>3936.69</v>
      </c>
      <c r="I510">
        <v>4362.51</v>
      </c>
      <c r="J510" t="s">
        <v>17</v>
      </c>
      <c r="K510" s="5">
        <v>7.0000000000000007E-2</v>
      </c>
      <c r="L510" t="s">
        <v>31</v>
      </c>
      <c r="M510" t="s">
        <v>22</v>
      </c>
      <c r="N510" t="s">
        <v>48</v>
      </c>
      <c r="O510" t="str">
        <f t="shared" si="21"/>
        <v>November</v>
      </c>
      <c r="P510">
        <f t="shared" si="22"/>
        <v>11</v>
      </c>
      <c r="Q510">
        <f t="shared" si="23"/>
        <v>2023</v>
      </c>
    </row>
    <row r="511" spans="1:17" x14ac:dyDescent="0.25">
      <c r="A511">
        <v>1069</v>
      </c>
      <c r="B511" s="1">
        <v>45006</v>
      </c>
      <c r="C511" t="s">
        <v>14</v>
      </c>
      <c r="D511" t="s">
        <v>34</v>
      </c>
      <c r="E511" s="4">
        <v>9369.18</v>
      </c>
      <c r="F511" s="2">
        <v>29</v>
      </c>
      <c r="G511" t="s">
        <v>16</v>
      </c>
      <c r="H511">
        <v>2462.66</v>
      </c>
      <c r="I511">
        <v>2908.0899999999901</v>
      </c>
      <c r="J511" t="s">
        <v>30</v>
      </c>
      <c r="K511" s="5">
        <v>0.12</v>
      </c>
      <c r="L511" t="s">
        <v>31</v>
      </c>
      <c r="M511" t="s">
        <v>19</v>
      </c>
      <c r="N511" t="s">
        <v>46</v>
      </c>
      <c r="O511" t="str">
        <f t="shared" si="21"/>
        <v>March</v>
      </c>
      <c r="P511">
        <f t="shared" si="22"/>
        <v>3</v>
      </c>
      <c r="Q511">
        <f t="shared" si="23"/>
        <v>2023</v>
      </c>
    </row>
    <row r="512" spans="1:17" x14ac:dyDescent="0.25">
      <c r="A512">
        <v>1047</v>
      </c>
      <c r="B512" s="1">
        <v>45142</v>
      </c>
      <c r="C512" t="s">
        <v>38</v>
      </c>
      <c r="D512" t="s">
        <v>25</v>
      </c>
      <c r="E512" s="4">
        <v>733.66</v>
      </c>
      <c r="F512" s="2">
        <v>47</v>
      </c>
      <c r="G512" t="s">
        <v>29</v>
      </c>
      <c r="H512">
        <v>4729.59</v>
      </c>
      <c r="I512">
        <v>4976.68</v>
      </c>
      <c r="J512" t="s">
        <v>17</v>
      </c>
      <c r="K512" s="5">
        <v>0.18</v>
      </c>
      <c r="L512" t="s">
        <v>31</v>
      </c>
      <c r="M512" t="s">
        <v>22</v>
      </c>
      <c r="N512" t="s">
        <v>39</v>
      </c>
      <c r="O512" t="str">
        <f t="shared" si="21"/>
        <v>August</v>
      </c>
      <c r="P512">
        <f t="shared" si="22"/>
        <v>8</v>
      </c>
      <c r="Q512">
        <f t="shared" si="23"/>
        <v>2023</v>
      </c>
    </row>
    <row r="513" spans="1:17" x14ac:dyDescent="0.25">
      <c r="A513">
        <v>1094</v>
      </c>
      <c r="B513" s="1">
        <v>45265</v>
      </c>
      <c r="C513" t="s">
        <v>38</v>
      </c>
      <c r="D513" t="s">
        <v>34</v>
      </c>
      <c r="E513" s="4">
        <v>8264.9599999999991</v>
      </c>
      <c r="F513" s="2">
        <v>12</v>
      </c>
      <c r="G513" t="s">
        <v>16</v>
      </c>
      <c r="H513">
        <v>333.32</v>
      </c>
      <c r="I513">
        <v>700.25</v>
      </c>
      <c r="J513" t="s">
        <v>17</v>
      </c>
      <c r="K513" s="5">
        <v>0.14000000000000001</v>
      </c>
      <c r="L513" t="s">
        <v>18</v>
      </c>
      <c r="M513" t="s">
        <v>19</v>
      </c>
      <c r="N513" t="s">
        <v>48</v>
      </c>
      <c r="O513" t="str">
        <f t="shared" si="21"/>
        <v>December</v>
      </c>
      <c r="P513">
        <f t="shared" si="22"/>
        <v>12</v>
      </c>
      <c r="Q513">
        <f t="shared" si="23"/>
        <v>2023</v>
      </c>
    </row>
    <row r="514" spans="1:17" x14ac:dyDescent="0.25">
      <c r="A514">
        <v>1062</v>
      </c>
      <c r="B514" s="1">
        <v>45190</v>
      </c>
      <c r="C514" t="s">
        <v>24</v>
      </c>
      <c r="D514" t="s">
        <v>15</v>
      </c>
      <c r="E514" s="4">
        <v>2994.59</v>
      </c>
      <c r="F514" s="2">
        <v>37</v>
      </c>
      <c r="G514" t="s">
        <v>35</v>
      </c>
      <c r="H514">
        <v>4658.4399999999996</v>
      </c>
      <c r="I514">
        <v>4823.5</v>
      </c>
      <c r="J514" t="s">
        <v>17</v>
      </c>
      <c r="K514" s="5">
        <v>0.14000000000000001</v>
      </c>
      <c r="L514" t="s">
        <v>31</v>
      </c>
      <c r="M514" t="s">
        <v>19</v>
      </c>
      <c r="N514" t="s">
        <v>45</v>
      </c>
      <c r="O514" t="str">
        <f t="shared" ref="O514:O577" si="24">TEXT(B514,"mmmm")</f>
        <v>September</v>
      </c>
      <c r="P514">
        <f t="shared" ref="P514:P577" si="25">MONTH(B514)</f>
        <v>9</v>
      </c>
      <c r="Q514">
        <f t="shared" ref="Q514:Q577" si="26">YEAR(B514)</f>
        <v>2023</v>
      </c>
    </row>
    <row r="515" spans="1:17" x14ac:dyDescent="0.25">
      <c r="A515">
        <v>1069</v>
      </c>
      <c r="B515" s="1">
        <v>45075</v>
      </c>
      <c r="C515" t="s">
        <v>42</v>
      </c>
      <c r="D515" t="s">
        <v>15</v>
      </c>
      <c r="E515" s="4">
        <v>4494.8</v>
      </c>
      <c r="F515" s="2">
        <v>30</v>
      </c>
      <c r="G515" t="s">
        <v>35</v>
      </c>
      <c r="H515">
        <v>300.01</v>
      </c>
      <c r="I515">
        <v>477.67999999999898</v>
      </c>
      <c r="J515" t="s">
        <v>30</v>
      </c>
      <c r="K515" s="5">
        <v>0.11</v>
      </c>
      <c r="L515" t="s">
        <v>27</v>
      </c>
      <c r="M515" t="s">
        <v>22</v>
      </c>
      <c r="N515" t="s">
        <v>49</v>
      </c>
      <c r="O515" t="str">
        <f t="shared" si="24"/>
        <v>May</v>
      </c>
      <c r="P515">
        <f t="shared" si="25"/>
        <v>5</v>
      </c>
      <c r="Q515">
        <f t="shared" si="26"/>
        <v>2023</v>
      </c>
    </row>
    <row r="516" spans="1:17" x14ac:dyDescent="0.25">
      <c r="A516">
        <v>1076</v>
      </c>
      <c r="B516" s="1">
        <v>45007</v>
      </c>
      <c r="C516" t="s">
        <v>33</v>
      </c>
      <c r="D516" t="s">
        <v>25</v>
      </c>
      <c r="E516" s="4">
        <v>316.94</v>
      </c>
      <c r="F516" s="2">
        <v>23</v>
      </c>
      <c r="G516" t="s">
        <v>26</v>
      </c>
      <c r="H516">
        <v>2759.16</v>
      </c>
      <c r="I516">
        <v>2864.45</v>
      </c>
      <c r="J516" t="s">
        <v>17</v>
      </c>
      <c r="K516" s="5">
        <v>0.18</v>
      </c>
      <c r="L516" t="s">
        <v>31</v>
      </c>
      <c r="M516" t="s">
        <v>22</v>
      </c>
      <c r="N516" t="s">
        <v>44</v>
      </c>
      <c r="O516" t="str">
        <f t="shared" si="24"/>
        <v>March</v>
      </c>
      <c r="P516">
        <f t="shared" si="25"/>
        <v>3</v>
      </c>
      <c r="Q516">
        <f t="shared" si="26"/>
        <v>2023</v>
      </c>
    </row>
    <row r="517" spans="1:17" x14ac:dyDescent="0.25">
      <c r="A517">
        <v>1016</v>
      </c>
      <c r="B517" s="1">
        <v>45141</v>
      </c>
      <c r="C517" t="s">
        <v>42</v>
      </c>
      <c r="D517" t="s">
        <v>21</v>
      </c>
      <c r="E517" s="4">
        <v>3080.36</v>
      </c>
      <c r="F517" s="2">
        <v>16</v>
      </c>
      <c r="G517" t="s">
        <v>16</v>
      </c>
      <c r="H517">
        <v>4457.68</v>
      </c>
      <c r="I517">
        <v>4743.03</v>
      </c>
      <c r="J517" t="s">
        <v>17</v>
      </c>
      <c r="K517" s="5">
        <v>0.19</v>
      </c>
      <c r="L517" t="s">
        <v>18</v>
      </c>
      <c r="M517" t="s">
        <v>19</v>
      </c>
      <c r="N517" t="s">
        <v>51</v>
      </c>
      <c r="O517" t="str">
        <f t="shared" si="24"/>
        <v>August</v>
      </c>
      <c r="P517">
        <f t="shared" si="25"/>
        <v>8</v>
      </c>
      <c r="Q517">
        <f t="shared" si="26"/>
        <v>2023</v>
      </c>
    </row>
    <row r="518" spans="1:17" x14ac:dyDescent="0.25">
      <c r="A518">
        <v>1090</v>
      </c>
      <c r="B518" s="1">
        <v>45124</v>
      </c>
      <c r="C518" t="s">
        <v>24</v>
      </c>
      <c r="D518" t="s">
        <v>15</v>
      </c>
      <c r="E518" s="4">
        <v>5076.05</v>
      </c>
      <c r="F518" s="2">
        <v>14</v>
      </c>
      <c r="G518" t="s">
        <v>35</v>
      </c>
      <c r="H518">
        <v>1350.47</v>
      </c>
      <c r="I518">
        <v>1514.61</v>
      </c>
      <c r="J518" t="s">
        <v>30</v>
      </c>
      <c r="K518" s="5">
        <v>0.2</v>
      </c>
      <c r="L518" t="s">
        <v>31</v>
      </c>
      <c r="M518" t="s">
        <v>22</v>
      </c>
      <c r="N518" t="s">
        <v>45</v>
      </c>
      <c r="O518" t="str">
        <f t="shared" si="24"/>
        <v>July</v>
      </c>
      <c r="P518">
        <f t="shared" si="25"/>
        <v>7</v>
      </c>
      <c r="Q518">
        <f t="shared" si="26"/>
        <v>2023</v>
      </c>
    </row>
    <row r="519" spans="1:17" x14ac:dyDescent="0.25">
      <c r="A519">
        <v>1090</v>
      </c>
      <c r="B519" s="1">
        <v>45126</v>
      </c>
      <c r="C519" t="s">
        <v>33</v>
      </c>
      <c r="D519" t="s">
        <v>21</v>
      </c>
      <c r="E519" s="4">
        <v>656.14</v>
      </c>
      <c r="F519" s="2">
        <v>10</v>
      </c>
      <c r="G519" t="s">
        <v>16</v>
      </c>
      <c r="H519">
        <v>2387.63</v>
      </c>
      <c r="I519">
        <v>2438.9699999999998</v>
      </c>
      <c r="J519" t="s">
        <v>17</v>
      </c>
      <c r="K519" s="5">
        <v>0.02</v>
      </c>
      <c r="L519" t="s">
        <v>27</v>
      </c>
      <c r="M519" t="s">
        <v>22</v>
      </c>
      <c r="N519" t="s">
        <v>37</v>
      </c>
      <c r="O519" t="str">
        <f t="shared" si="24"/>
        <v>July</v>
      </c>
      <c r="P519">
        <f t="shared" si="25"/>
        <v>7</v>
      </c>
      <c r="Q519">
        <f t="shared" si="26"/>
        <v>2023</v>
      </c>
    </row>
    <row r="520" spans="1:17" x14ac:dyDescent="0.25">
      <c r="A520">
        <v>1048</v>
      </c>
      <c r="B520" s="1">
        <v>44951</v>
      </c>
      <c r="C520" t="s">
        <v>38</v>
      </c>
      <c r="D520" t="s">
        <v>25</v>
      </c>
      <c r="E520" s="4">
        <v>4961.8500000000004</v>
      </c>
      <c r="F520" s="2">
        <v>7</v>
      </c>
      <c r="G520" t="s">
        <v>35</v>
      </c>
      <c r="H520">
        <v>1655.43</v>
      </c>
      <c r="I520">
        <v>2001.08</v>
      </c>
      <c r="J520" t="s">
        <v>30</v>
      </c>
      <c r="K520" s="5">
        <v>0.19</v>
      </c>
      <c r="L520" t="s">
        <v>27</v>
      </c>
      <c r="M520" t="s">
        <v>19</v>
      </c>
      <c r="N520" t="s">
        <v>39</v>
      </c>
      <c r="O520" t="str">
        <f t="shared" si="24"/>
        <v>January</v>
      </c>
      <c r="P520">
        <f t="shared" si="25"/>
        <v>1</v>
      </c>
      <c r="Q520">
        <f t="shared" si="26"/>
        <v>2023</v>
      </c>
    </row>
    <row r="521" spans="1:17" x14ac:dyDescent="0.25">
      <c r="A521">
        <v>1085</v>
      </c>
      <c r="B521" s="1">
        <v>45015</v>
      </c>
      <c r="C521" t="s">
        <v>24</v>
      </c>
      <c r="D521" t="s">
        <v>21</v>
      </c>
      <c r="E521" s="4">
        <v>9278.4</v>
      </c>
      <c r="F521" s="2">
        <v>45</v>
      </c>
      <c r="G521" t="s">
        <v>29</v>
      </c>
      <c r="H521">
        <v>4763.1099999999997</v>
      </c>
      <c r="I521">
        <v>5119.91</v>
      </c>
      <c r="J521" t="s">
        <v>17</v>
      </c>
      <c r="K521" s="5">
        <v>0.28999999999999998</v>
      </c>
      <c r="L521" t="s">
        <v>18</v>
      </c>
      <c r="M521" t="s">
        <v>22</v>
      </c>
      <c r="N521" t="s">
        <v>47</v>
      </c>
      <c r="O521" t="str">
        <f t="shared" si="24"/>
        <v>March</v>
      </c>
      <c r="P521">
        <f t="shared" si="25"/>
        <v>3</v>
      </c>
      <c r="Q521">
        <f t="shared" si="26"/>
        <v>2023</v>
      </c>
    </row>
    <row r="522" spans="1:17" x14ac:dyDescent="0.25">
      <c r="A522">
        <v>1039</v>
      </c>
      <c r="B522" s="1">
        <v>45194</v>
      </c>
      <c r="C522" t="s">
        <v>38</v>
      </c>
      <c r="D522" t="s">
        <v>21</v>
      </c>
      <c r="E522" s="4">
        <v>1143.3900000000001</v>
      </c>
      <c r="F522" s="2">
        <v>37</v>
      </c>
      <c r="G522" t="s">
        <v>35</v>
      </c>
      <c r="H522">
        <v>4127.05</v>
      </c>
      <c r="I522">
        <v>4313.45</v>
      </c>
      <c r="J522" t="s">
        <v>30</v>
      </c>
      <c r="K522" s="5">
        <v>0.16</v>
      </c>
      <c r="L522" t="s">
        <v>18</v>
      </c>
      <c r="M522" t="s">
        <v>19</v>
      </c>
      <c r="N522" t="s">
        <v>41</v>
      </c>
      <c r="O522" t="str">
        <f t="shared" si="24"/>
        <v>September</v>
      </c>
      <c r="P522">
        <f t="shared" si="25"/>
        <v>9</v>
      </c>
      <c r="Q522">
        <f t="shared" si="26"/>
        <v>2023</v>
      </c>
    </row>
    <row r="523" spans="1:17" x14ac:dyDescent="0.25">
      <c r="A523">
        <v>1100</v>
      </c>
      <c r="B523" s="1">
        <v>45069</v>
      </c>
      <c r="C523" t="s">
        <v>14</v>
      </c>
      <c r="D523" t="s">
        <v>21</v>
      </c>
      <c r="E523" s="4">
        <v>7667.96</v>
      </c>
      <c r="F523" s="2">
        <v>29</v>
      </c>
      <c r="G523" t="s">
        <v>26</v>
      </c>
      <c r="H523">
        <v>3559.56</v>
      </c>
      <c r="I523">
        <v>3607.15</v>
      </c>
      <c r="J523" t="s">
        <v>17</v>
      </c>
      <c r="K523" s="5">
        <v>0.21</v>
      </c>
      <c r="L523" t="s">
        <v>18</v>
      </c>
      <c r="M523" t="s">
        <v>22</v>
      </c>
      <c r="N523" t="s">
        <v>23</v>
      </c>
      <c r="O523" t="str">
        <f t="shared" si="24"/>
        <v>May</v>
      </c>
      <c r="P523">
        <f t="shared" si="25"/>
        <v>5</v>
      </c>
      <c r="Q523">
        <f t="shared" si="26"/>
        <v>2023</v>
      </c>
    </row>
    <row r="524" spans="1:17" x14ac:dyDescent="0.25">
      <c r="A524">
        <v>1033</v>
      </c>
      <c r="B524" s="1">
        <v>44985</v>
      </c>
      <c r="C524" t="s">
        <v>24</v>
      </c>
      <c r="D524" t="s">
        <v>21</v>
      </c>
      <c r="E524" s="4">
        <v>4155.74</v>
      </c>
      <c r="F524" s="2">
        <v>3</v>
      </c>
      <c r="G524" t="s">
        <v>29</v>
      </c>
      <c r="H524">
        <v>2958.75</v>
      </c>
      <c r="I524">
        <v>3177.64</v>
      </c>
      <c r="J524" t="s">
        <v>17</v>
      </c>
      <c r="K524" s="5">
        <v>0.17</v>
      </c>
      <c r="L524" t="s">
        <v>18</v>
      </c>
      <c r="M524" t="s">
        <v>19</v>
      </c>
      <c r="N524" t="s">
        <v>47</v>
      </c>
      <c r="O524" t="str">
        <f t="shared" si="24"/>
        <v>February</v>
      </c>
      <c r="P524">
        <f t="shared" si="25"/>
        <v>2</v>
      </c>
      <c r="Q524">
        <f t="shared" si="26"/>
        <v>2023</v>
      </c>
    </row>
    <row r="525" spans="1:17" x14ac:dyDescent="0.25">
      <c r="A525">
        <v>1094</v>
      </c>
      <c r="B525" s="1">
        <v>45291</v>
      </c>
      <c r="C525" t="s">
        <v>14</v>
      </c>
      <c r="D525" t="s">
        <v>25</v>
      </c>
      <c r="E525" s="4">
        <v>6586.22</v>
      </c>
      <c r="F525" s="2">
        <v>15</v>
      </c>
      <c r="G525" t="s">
        <v>26</v>
      </c>
      <c r="H525">
        <v>4111.93</v>
      </c>
      <c r="I525">
        <v>4338.67</v>
      </c>
      <c r="J525" t="s">
        <v>17</v>
      </c>
      <c r="K525" s="5">
        <v>0.26</v>
      </c>
      <c r="L525" t="s">
        <v>31</v>
      </c>
      <c r="M525" t="s">
        <v>19</v>
      </c>
      <c r="N525" t="s">
        <v>32</v>
      </c>
      <c r="O525" t="str">
        <f t="shared" si="24"/>
        <v>December</v>
      </c>
      <c r="P525">
        <f t="shared" si="25"/>
        <v>12</v>
      </c>
      <c r="Q525">
        <f t="shared" si="26"/>
        <v>2023</v>
      </c>
    </row>
    <row r="526" spans="1:17" x14ac:dyDescent="0.25">
      <c r="A526">
        <v>1023</v>
      </c>
      <c r="B526" s="1">
        <v>44952</v>
      </c>
      <c r="C526" t="s">
        <v>24</v>
      </c>
      <c r="D526" t="s">
        <v>15</v>
      </c>
      <c r="E526" s="4">
        <v>2676.34</v>
      </c>
      <c r="F526" s="2">
        <v>36</v>
      </c>
      <c r="G526" t="s">
        <v>29</v>
      </c>
      <c r="H526">
        <v>1991.72</v>
      </c>
      <c r="I526">
        <v>2329.37</v>
      </c>
      <c r="J526" t="s">
        <v>30</v>
      </c>
      <c r="K526" s="5">
        <v>0.28000000000000003</v>
      </c>
      <c r="L526" t="s">
        <v>31</v>
      </c>
      <c r="M526" t="s">
        <v>22</v>
      </c>
      <c r="N526" t="s">
        <v>45</v>
      </c>
      <c r="O526" t="str">
        <f t="shared" si="24"/>
        <v>January</v>
      </c>
      <c r="P526">
        <f t="shared" si="25"/>
        <v>1</v>
      </c>
      <c r="Q526">
        <f t="shared" si="26"/>
        <v>2023</v>
      </c>
    </row>
    <row r="527" spans="1:17" x14ac:dyDescent="0.25">
      <c r="A527">
        <v>1010</v>
      </c>
      <c r="B527" s="1">
        <v>44973</v>
      </c>
      <c r="C527" t="s">
        <v>24</v>
      </c>
      <c r="D527" t="s">
        <v>34</v>
      </c>
      <c r="E527" s="4">
        <v>1678.97</v>
      </c>
      <c r="F527" s="2">
        <v>47</v>
      </c>
      <c r="G527" t="s">
        <v>16</v>
      </c>
      <c r="H527">
        <v>2265.38</v>
      </c>
      <c r="I527">
        <v>2429.9299999999998</v>
      </c>
      <c r="J527" t="s">
        <v>17</v>
      </c>
      <c r="K527" s="5">
        <v>0.06</v>
      </c>
      <c r="L527" t="s">
        <v>27</v>
      </c>
      <c r="M527" t="s">
        <v>19</v>
      </c>
      <c r="N527" t="s">
        <v>50</v>
      </c>
      <c r="O527" t="str">
        <f t="shared" si="24"/>
        <v>February</v>
      </c>
      <c r="P527">
        <f t="shared" si="25"/>
        <v>2</v>
      </c>
      <c r="Q527">
        <f t="shared" si="26"/>
        <v>2023</v>
      </c>
    </row>
    <row r="528" spans="1:17" x14ac:dyDescent="0.25">
      <c r="A528">
        <v>1069</v>
      </c>
      <c r="B528" s="1">
        <v>45214</v>
      </c>
      <c r="C528" t="s">
        <v>14</v>
      </c>
      <c r="D528" t="s">
        <v>21</v>
      </c>
      <c r="E528" s="4">
        <v>1688.58</v>
      </c>
      <c r="F528" s="2">
        <v>46</v>
      </c>
      <c r="G528" t="s">
        <v>26</v>
      </c>
      <c r="H528">
        <v>3663.51</v>
      </c>
      <c r="I528">
        <v>4007.98</v>
      </c>
      <c r="J528" t="s">
        <v>30</v>
      </c>
      <c r="K528" s="5">
        <v>0.13</v>
      </c>
      <c r="L528" t="s">
        <v>18</v>
      </c>
      <c r="M528" t="s">
        <v>19</v>
      </c>
      <c r="N528" t="s">
        <v>23</v>
      </c>
      <c r="O528" t="str">
        <f t="shared" si="24"/>
        <v>October</v>
      </c>
      <c r="P528">
        <f t="shared" si="25"/>
        <v>10</v>
      </c>
      <c r="Q528">
        <f t="shared" si="26"/>
        <v>2023</v>
      </c>
    </row>
    <row r="529" spans="1:17" x14ac:dyDescent="0.25">
      <c r="A529">
        <v>1100</v>
      </c>
      <c r="B529" s="1">
        <v>45192</v>
      </c>
      <c r="C529" t="s">
        <v>33</v>
      </c>
      <c r="D529" t="s">
        <v>15</v>
      </c>
      <c r="E529" s="4">
        <v>797.87</v>
      </c>
      <c r="F529" s="2">
        <v>19</v>
      </c>
      <c r="G529" t="s">
        <v>35</v>
      </c>
      <c r="H529">
        <v>1820.89</v>
      </c>
      <c r="I529">
        <v>2257.92</v>
      </c>
      <c r="J529" t="s">
        <v>30</v>
      </c>
      <c r="K529" s="5">
        <v>0.12</v>
      </c>
      <c r="L529" t="s">
        <v>18</v>
      </c>
      <c r="M529" t="s">
        <v>22</v>
      </c>
      <c r="N529" t="s">
        <v>53</v>
      </c>
      <c r="O529" t="str">
        <f t="shared" si="24"/>
        <v>September</v>
      </c>
      <c r="P529">
        <f t="shared" si="25"/>
        <v>9</v>
      </c>
      <c r="Q529">
        <f t="shared" si="26"/>
        <v>2023</v>
      </c>
    </row>
    <row r="530" spans="1:17" x14ac:dyDescent="0.25">
      <c r="A530">
        <v>1034</v>
      </c>
      <c r="B530" s="1">
        <v>44942</v>
      </c>
      <c r="C530" t="s">
        <v>42</v>
      </c>
      <c r="D530" t="s">
        <v>15</v>
      </c>
      <c r="E530" s="4">
        <v>1937.9</v>
      </c>
      <c r="F530" s="2">
        <v>13</v>
      </c>
      <c r="G530" t="s">
        <v>16</v>
      </c>
      <c r="H530">
        <v>366.31</v>
      </c>
      <c r="I530">
        <v>492.68</v>
      </c>
      <c r="J530" t="s">
        <v>30</v>
      </c>
      <c r="K530" s="5">
        <v>0.12</v>
      </c>
      <c r="L530" t="s">
        <v>31</v>
      </c>
      <c r="M530" t="s">
        <v>22</v>
      </c>
      <c r="N530" t="s">
        <v>49</v>
      </c>
      <c r="O530" t="str">
        <f t="shared" si="24"/>
        <v>January</v>
      </c>
      <c r="P530">
        <f t="shared" si="25"/>
        <v>1</v>
      </c>
      <c r="Q530">
        <f t="shared" si="26"/>
        <v>2023</v>
      </c>
    </row>
    <row r="531" spans="1:17" x14ac:dyDescent="0.25">
      <c r="A531">
        <v>1052</v>
      </c>
      <c r="B531" s="1">
        <v>45125</v>
      </c>
      <c r="C531" t="s">
        <v>38</v>
      </c>
      <c r="D531" t="s">
        <v>25</v>
      </c>
      <c r="E531" s="4">
        <v>6675.77</v>
      </c>
      <c r="F531" s="2">
        <v>42</v>
      </c>
      <c r="G531" t="s">
        <v>35</v>
      </c>
      <c r="H531">
        <v>417.96</v>
      </c>
      <c r="I531">
        <v>907.63</v>
      </c>
      <c r="J531" t="s">
        <v>30</v>
      </c>
      <c r="K531" s="5">
        <v>0.04</v>
      </c>
      <c r="L531" t="s">
        <v>18</v>
      </c>
      <c r="M531" t="s">
        <v>22</v>
      </c>
      <c r="N531" t="s">
        <v>39</v>
      </c>
      <c r="O531" t="str">
        <f t="shared" si="24"/>
        <v>July</v>
      </c>
      <c r="P531">
        <f t="shared" si="25"/>
        <v>7</v>
      </c>
      <c r="Q531">
        <f t="shared" si="26"/>
        <v>2023</v>
      </c>
    </row>
    <row r="532" spans="1:17" x14ac:dyDescent="0.25">
      <c r="A532">
        <v>1095</v>
      </c>
      <c r="B532" s="1">
        <v>45208</v>
      </c>
      <c r="C532" t="s">
        <v>24</v>
      </c>
      <c r="D532" t="s">
        <v>15</v>
      </c>
      <c r="E532" s="4">
        <v>8828.74</v>
      </c>
      <c r="F532" s="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 s="5">
        <v>0.24</v>
      </c>
      <c r="L532" t="s">
        <v>27</v>
      </c>
      <c r="M532" t="s">
        <v>19</v>
      </c>
      <c r="N532" t="s">
        <v>45</v>
      </c>
      <c r="O532" t="str">
        <f t="shared" si="24"/>
        <v>October</v>
      </c>
      <c r="P532">
        <f t="shared" si="25"/>
        <v>10</v>
      </c>
      <c r="Q532">
        <f t="shared" si="26"/>
        <v>2023</v>
      </c>
    </row>
    <row r="533" spans="1:17" x14ac:dyDescent="0.25">
      <c r="A533">
        <v>1010</v>
      </c>
      <c r="B533" s="1">
        <v>45012</v>
      </c>
      <c r="C533" t="s">
        <v>38</v>
      </c>
      <c r="D533" t="s">
        <v>25</v>
      </c>
      <c r="E533" s="4">
        <v>8159.84</v>
      </c>
      <c r="F533" s="2">
        <v>37</v>
      </c>
      <c r="G533" t="s">
        <v>29</v>
      </c>
      <c r="H533">
        <v>4354.92</v>
      </c>
      <c r="I533">
        <v>4495.88</v>
      </c>
      <c r="J533" t="s">
        <v>17</v>
      </c>
      <c r="K533" s="5">
        <v>0.01</v>
      </c>
      <c r="L533" t="s">
        <v>27</v>
      </c>
      <c r="M533" t="s">
        <v>19</v>
      </c>
      <c r="N533" t="s">
        <v>39</v>
      </c>
      <c r="O533" t="str">
        <f t="shared" si="24"/>
        <v>March</v>
      </c>
      <c r="P533">
        <f t="shared" si="25"/>
        <v>3</v>
      </c>
      <c r="Q533">
        <f t="shared" si="26"/>
        <v>2023</v>
      </c>
    </row>
    <row r="534" spans="1:17" x14ac:dyDescent="0.25">
      <c r="A534">
        <v>1019</v>
      </c>
      <c r="B534" s="1">
        <v>45176</v>
      </c>
      <c r="C534" t="s">
        <v>14</v>
      </c>
      <c r="D534" t="s">
        <v>21</v>
      </c>
      <c r="E534" s="4">
        <v>6882.83</v>
      </c>
      <c r="F534" s="2">
        <v>27</v>
      </c>
      <c r="G534" t="s">
        <v>35</v>
      </c>
      <c r="H534">
        <v>2387.52</v>
      </c>
      <c r="I534">
        <v>2604.06</v>
      </c>
      <c r="J534" t="s">
        <v>17</v>
      </c>
      <c r="K534" s="5">
        <v>0.16</v>
      </c>
      <c r="L534" t="s">
        <v>18</v>
      </c>
      <c r="M534" t="s">
        <v>19</v>
      </c>
      <c r="N534" t="s">
        <v>23</v>
      </c>
      <c r="O534" t="str">
        <f t="shared" si="24"/>
        <v>September</v>
      </c>
      <c r="P534">
        <f t="shared" si="25"/>
        <v>9</v>
      </c>
      <c r="Q534">
        <f t="shared" si="26"/>
        <v>2023</v>
      </c>
    </row>
    <row r="535" spans="1:17" x14ac:dyDescent="0.25">
      <c r="A535">
        <v>1058</v>
      </c>
      <c r="B535" s="1">
        <v>45196</v>
      </c>
      <c r="C535" t="s">
        <v>38</v>
      </c>
      <c r="D535" t="s">
        <v>21</v>
      </c>
      <c r="E535" s="4">
        <v>1193.28</v>
      </c>
      <c r="F535" s="2">
        <v>29</v>
      </c>
      <c r="G535" t="s">
        <v>35</v>
      </c>
      <c r="H535">
        <v>3578.77</v>
      </c>
      <c r="I535">
        <v>3635.02</v>
      </c>
      <c r="J535" t="s">
        <v>30</v>
      </c>
      <c r="K535" s="5">
        <v>0.2</v>
      </c>
      <c r="L535" t="s">
        <v>27</v>
      </c>
      <c r="M535" t="s">
        <v>22</v>
      </c>
      <c r="N535" t="s">
        <v>41</v>
      </c>
      <c r="O535" t="str">
        <f t="shared" si="24"/>
        <v>September</v>
      </c>
      <c r="P535">
        <f t="shared" si="25"/>
        <v>9</v>
      </c>
      <c r="Q535">
        <f t="shared" si="26"/>
        <v>2023</v>
      </c>
    </row>
    <row r="536" spans="1:17" x14ac:dyDescent="0.25">
      <c r="A536">
        <v>1096</v>
      </c>
      <c r="B536" s="1">
        <v>45261</v>
      </c>
      <c r="C536" t="s">
        <v>14</v>
      </c>
      <c r="D536" t="s">
        <v>34</v>
      </c>
      <c r="E536" s="4">
        <v>2962.96</v>
      </c>
      <c r="F536" s="2">
        <v>20</v>
      </c>
      <c r="G536" t="s">
        <v>16</v>
      </c>
      <c r="H536">
        <v>1994.9</v>
      </c>
      <c r="I536">
        <v>2066.5</v>
      </c>
      <c r="J536" t="s">
        <v>17</v>
      </c>
      <c r="K536" s="5">
        <v>0.06</v>
      </c>
      <c r="L536" t="s">
        <v>27</v>
      </c>
      <c r="M536" t="s">
        <v>19</v>
      </c>
      <c r="N536" t="s">
        <v>46</v>
      </c>
      <c r="O536" t="str">
        <f t="shared" si="24"/>
        <v>December</v>
      </c>
      <c r="P536">
        <f t="shared" si="25"/>
        <v>12</v>
      </c>
      <c r="Q536">
        <f t="shared" si="26"/>
        <v>2023</v>
      </c>
    </row>
    <row r="537" spans="1:17" x14ac:dyDescent="0.25">
      <c r="A537">
        <v>1001</v>
      </c>
      <c r="B537" s="1">
        <v>45043</v>
      </c>
      <c r="C537" t="s">
        <v>38</v>
      </c>
      <c r="D537" t="s">
        <v>34</v>
      </c>
      <c r="E537" s="4">
        <v>3167.09</v>
      </c>
      <c r="F537" s="2">
        <v>25</v>
      </c>
      <c r="G537" t="s">
        <v>35</v>
      </c>
      <c r="H537">
        <v>1330.62</v>
      </c>
      <c r="I537">
        <v>1543.6899999999901</v>
      </c>
      <c r="J537" t="s">
        <v>30</v>
      </c>
      <c r="K537" s="5">
        <v>0.27</v>
      </c>
      <c r="L537" t="s">
        <v>31</v>
      </c>
      <c r="M537" t="s">
        <v>19</v>
      </c>
      <c r="N537" t="s">
        <v>48</v>
      </c>
      <c r="O537" t="str">
        <f t="shared" si="24"/>
        <v>April</v>
      </c>
      <c r="P537">
        <f t="shared" si="25"/>
        <v>4</v>
      </c>
      <c r="Q537">
        <f t="shared" si="26"/>
        <v>2023</v>
      </c>
    </row>
    <row r="538" spans="1:17" x14ac:dyDescent="0.25">
      <c r="A538">
        <v>1069</v>
      </c>
      <c r="B538" s="1">
        <v>44933</v>
      </c>
      <c r="C538" t="s">
        <v>42</v>
      </c>
      <c r="D538" t="s">
        <v>34</v>
      </c>
      <c r="E538" s="4">
        <v>2574.5700000000002</v>
      </c>
      <c r="F538" s="2">
        <v>6</v>
      </c>
      <c r="G538" t="s">
        <v>26</v>
      </c>
      <c r="H538">
        <v>1768.6</v>
      </c>
      <c r="I538">
        <v>2152.1999999999998</v>
      </c>
      <c r="J538" t="s">
        <v>30</v>
      </c>
      <c r="K538" s="5">
        <v>0.25</v>
      </c>
      <c r="L538" t="s">
        <v>27</v>
      </c>
      <c r="M538" t="s">
        <v>22</v>
      </c>
      <c r="N538" t="s">
        <v>52</v>
      </c>
      <c r="O538" t="str">
        <f t="shared" si="24"/>
        <v>January</v>
      </c>
      <c r="P538">
        <f t="shared" si="25"/>
        <v>1</v>
      </c>
      <c r="Q538">
        <f t="shared" si="26"/>
        <v>2023</v>
      </c>
    </row>
    <row r="539" spans="1:17" x14ac:dyDescent="0.25">
      <c r="A539">
        <v>1004</v>
      </c>
      <c r="B539" s="1">
        <v>45063</v>
      </c>
      <c r="C539" t="s">
        <v>42</v>
      </c>
      <c r="D539" t="s">
        <v>15</v>
      </c>
      <c r="E539" s="4">
        <v>5198.5600000000004</v>
      </c>
      <c r="F539" s="2">
        <v>36</v>
      </c>
      <c r="G539" t="s">
        <v>26</v>
      </c>
      <c r="H539">
        <v>3981.2</v>
      </c>
      <c r="I539">
        <v>4432.3499999999904</v>
      </c>
      <c r="J539" t="s">
        <v>30</v>
      </c>
      <c r="K539" s="5">
        <v>0.14000000000000001</v>
      </c>
      <c r="L539" t="s">
        <v>18</v>
      </c>
      <c r="M539" t="s">
        <v>19</v>
      </c>
      <c r="N539" t="s">
        <v>49</v>
      </c>
      <c r="O539" t="str">
        <f t="shared" si="24"/>
        <v>May</v>
      </c>
      <c r="P539">
        <f t="shared" si="25"/>
        <v>5</v>
      </c>
      <c r="Q539">
        <f t="shared" si="26"/>
        <v>2023</v>
      </c>
    </row>
    <row r="540" spans="1:17" x14ac:dyDescent="0.25">
      <c r="A540">
        <v>1016</v>
      </c>
      <c r="B540" s="1">
        <v>45102</v>
      </c>
      <c r="C540" t="s">
        <v>42</v>
      </c>
      <c r="D540" t="s">
        <v>21</v>
      </c>
      <c r="E540" s="4">
        <v>5401.98</v>
      </c>
      <c r="F540" s="2">
        <v>2</v>
      </c>
      <c r="G540" t="s">
        <v>35</v>
      </c>
      <c r="H540">
        <v>3144.82</v>
      </c>
      <c r="I540">
        <v>3480.58</v>
      </c>
      <c r="J540" t="s">
        <v>17</v>
      </c>
      <c r="K540" s="5">
        <v>0.12</v>
      </c>
      <c r="L540" t="s">
        <v>18</v>
      </c>
      <c r="M540" t="s">
        <v>22</v>
      </c>
      <c r="N540" t="s">
        <v>51</v>
      </c>
      <c r="O540" t="str">
        <f t="shared" si="24"/>
        <v>June</v>
      </c>
      <c r="P540">
        <f t="shared" si="25"/>
        <v>6</v>
      </c>
      <c r="Q540">
        <f t="shared" si="26"/>
        <v>2023</v>
      </c>
    </row>
    <row r="541" spans="1:17" x14ac:dyDescent="0.25">
      <c r="A541">
        <v>1024</v>
      </c>
      <c r="B541" s="1">
        <v>45254</v>
      </c>
      <c r="C541" t="s">
        <v>42</v>
      </c>
      <c r="D541" t="s">
        <v>25</v>
      </c>
      <c r="E541" s="4">
        <v>3633.17</v>
      </c>
      <c r="F541" s="2">
        <v>22</v>
      </c>
      <c r="G541" t="s">
        <v>26</v>
      </c>
      <c r="H541">
        <v>4691.32</v>
      </c>
      <c r="I541">
        <v>4752.88</v>
      </c>
      <c r="J541" t="s">
        <v>17</v>
      </c>
      <c r="K541" s="5">
        <v>7.0000000000000007E-2</v>
      </c>
      <c r="L541" t="s">
        <v>27</v>
      </c>
      <c r="M541" t="s">
        <v>22</v>
      </c>
      <c r="N541" t="s">
        <v>43</v>
      </c>
      <c r="O541" t="str">
        <f t="shared" si="24"/>
        <v>November</v>
      </c>
      <c r="P541">
        <f t="shared" si="25"/>
        <v>11</v>
      </c>
      <c r="Q541">
        <f t="shared" si="26"/>
        <v>2023</v>
      </c>
    </row>
    <row r="542" spans="1:17" x14ac:dyDescent="0.25">
      <c r="A542">
        <v>1080</v>
      </c>
      <c r="B542" s="1">
        <v>45241</v>
      </c>
      <c r="C542" t="s">
        <v>42</v>
      </c>
      <c r="D542" t="s">
        <v>34</v>
      </c>
      <c r="E542" s="4">
        <v>3602.51</v>
      </c>
      <c r="F542" s="2">
        <v>32</v>
      </c>
      <c r="G542" t="s">
        <v>35</v>
      </c>
      <c r="H542">
        <v>3414.54</v>
      </c>
      <c r="I542">
        <v>3753.83</v>
      </c>
      <c r="J542" t="s">
        <v>30</v>
      </c>
      <c r="K542" s="5">
        <v>0.22</v>
      </c>
      <c r="L542" t="s">
        <v>18</v>
      </c>
      <c r="M542" t="s">
        <v>22</v>
      </c>
      <c r="N542" t="s">
        <v>52</v>
      </c>
      <c r="O542" t="str">
        <f t="shared" si="24"/>
        <v>November</v>
      </c>
      <c r="P542">
        <f t="shared" si="25"/>
        <v>11</v>
      </c>
      <c r="Q542">
        <f t="shared" si="26"/>
        <v>2023</v>
      </c>
    </row>
    <row r="543" spans="1:17" x14ac:dyDescent="0.25">
      <c r="A543">
        <v>1002</v>
      </c>
      <c r="B543" s="1">
        <v>45141</v>
      </c>
      <c r="C543" t="s">
        <v>42</v>
      </c>
      <c r="D543" t="s">
        <v>25</v>
      </c>
      <c r="E543" s="4">
        <v>8302.7000000000007</v>
      </c>
      <c r="F543" s="2">
        <v>16</v>
      </c>
      <c r="G543" t="s">
        <v>16</v>
      </c>
      <c r="H543">
        <v>2872.4</v>
      </c>
      <c r="I543">
        <v>3193.76</v>
      </c>
      <c r="J543" t="s">
        <v>17</v>
      </c>
      <c r="K543" s="5">
        <v>0.04</v>
      </c>
      <c r="L543" t="s">
        <v>31</v>
      </c>
      <c r="M543" t="s">
        <v>19</v>
      </c>
      <c r="N543" t="s">
        <v>43</v>
      </c>
      <c r="O543" t="str">
        <f t="shared" si="24"/>
        <v>August</v>
      </c>
      <c r="P543">
        <f t="shared" si="25"/>
        <v>8</v>
      </c>
      <c r="Q543">
        <f t="shared" si="26"/>
        <v>2023</v>
      </c>
    </row>
    <row r="544" spans="1:17" x14ac:dyDescent="0.25">
      <c r="A544">
        <v>1092</v>
      </c>
      <c r="B544" s="1">
        <v>45008</v>
      </c>
      <c r="C544" t="s">
        <v>14</v>
      </c>
      <c r="D544" t="s">
        <v>25</v>
      </c>
      <c r="E544" s="4">
        <v>7914</v>
      </c>
      <c r="F544" s="2">
        <v>18</v>
      </c>
      <c r="G544" t="s">
        <v>26</v>
      </c>
      <c r="H544">
        <v>3070.47</v>
      </c>
      <c r="I544">
        <v>3475.29</v>
      </c>
      <c r="J544" t="s">
        <v>17</v>
      </c>
      <c r="K544" s="5">
        <v>0.2</v>
      </c>
      <c r="L544" t="s">
        <v>27</v>
      </c>
      <c r="M544" t="s">
        <v>19</v>
      </c>
      <c r="N544" t="s">
        <v>32</v>
      </c>
      <c r="O544" t="str">
        <f t="shared" si="24"/>
        <v>March</v>
      </c>
      <c r="P544">
        <f t="shared" si="25"/>
        <v>3</v>
      </c>
      <c r="Q544">
        <f t="shared" si="26"/>
        <v>2023</v>
      </c>
    </row>
    <row r="545" spans="1:17" x14ac:dyDescent="0.25">
      <c r="A545">
        <v>1032</v>
      </c>
      <c r="B545" s="1">
        <v>45149</v>
      </c>
      <c r="C545" t="s">
        <v>24</v>
      </c>
      <c r="D545" t="s">
        <v>34</v>
      </c>
      <c r="E545" s="4">
        <v>3147.18</v>
      </c>
      <c r="F545" s="2">
        <v>5</v>
      </c>
      <c r="G545" t="s">
        <v>26</v>
      </c>
      <c r="H545">
        <v>4714.74</v>
      </c>
      <c r="I545">
        <v>5129.1099999999997</v>
      </c>
      <c r="J545" t="s">
        <v>30</v>
      </c>
      <c r="K545" s="5">
        <v>0.25</v>
      </c>
      <c r="L545" t="s">
        <v>27</v>
      </c>
      <c r="M545" t="s">
        <v>19</v>
      </c>
      <c r="N545" t="s">
        <v>50</v>
      </c>
      <c r="O545" t="str">
        <f t="shared" si="24"/>
        <v>August</v>
      </c>
      <c r="P545">
        <f t="shared" si="25"/>
        <v>8</v>
      </c>
      <c r="Q545">
        <f t="shared" si="26"/>
        <v>2023</v>
      </c>
    </row>
    <row r="546" spans="1:17" x14ac:dyDescent="0.25">
      <c r="A546">
        <v>1091</v>
      </c>
      <c r="B546" s="1">
        <v>45029</v>
      </c>
      <c r="C546" t="s">
        <v>38</v>
      </c>
      <c r="D546" t="s">
        <v>21</v>
      </c>
      <c r="E546" s="4">
        <v>9146.51</v>
      </c>
      <c r="F546" s="2">
        <v>36</v>
      </c>
      <c r="G546" t="s">
        <v>35</v>
      </c>
      <c r="H546">
        <v>3951.59</v>
      </c>
      <c r="I546">
        <v>4387.01</v>
      </c>
      <c r="J546" t="s">
        <v>30</v>
      </c>
      <c r="K546" s="5">
        <v>7.0000000000000007E-2</v>
      </c>
      <c r="L546" t="s">
        <v>27</v>
      </c>
      <c r="M546" t="s">
        <v>22</v>
      </c>
      <c r="N546" t="s">
        <v>41</v>
      </c>
      <c r="O546" t="str">
        <f t="shared" si="24"/>
        <v>April</v>
      </c>
      <c r="P546">
        <f t="shared" si="25"/>
        <v>4</v>
      </c>
      <c r="Q546">
        <f t="shared" si="26"/>
        <v>2023</v>
      </c>
    </row>
    <row r="547" spans="1:17" x14ac:dyDescent="0.25">
      <c r="A547">
        <v>1084</v>
      </c>
      <c r="B547" s="1">
        <v>45199</v>
      </c>
      <c r="C547" t="s">
        <v>42</v>
      </c>
      <c r="D547" t="s">
        <v>34</v>
      </c>
      <c r="E547" s="4">
        <v>9532.8700000000008</v>
      </c>
      <c r="F547" s="2">
        <v>30</v>
      </c>
      <c r="G547" t="s">
        <v>26</v>
      </c>
      <c r="H547">
        <v>169</v>
      </c>
      <c r="I547">
        <v>381.91999999999899</v>
      </c>
      <c r="J547" t="s">
        <v>17</v>
      </c>
      <c r="K547" s="5">
        <v>0.26</v>
      </c>
      <c r="L547" t="s">
        <v>18</v>
      </c>
      <c r="M547" t="s">
        <v>22</v>
      </c>
      <c r="N547" t="s">
        <v>52</v>
      </c>
      <c r="O547" t="str">
        <f t="shared" si="24"/>
        <v>September</v>
      </c>
      <c r="P547">
        <f t="shared" si="25"/>
        <v>9</v>
      </c>
      <c r="Q547">
        <f t="shared" si="26"/>
        <v>2023</v>
      </c>
    </row>
    <row r="548" spans="1:17" x14ac:dyDescent="0.25">
      <c r="A548">
        <v>1024</v>
      </c>
      <c r="B548" s="1">
        <v>44940</v>
      </c>
      <c r="C548" t="s">
        <v>14</v>
      </c>
      <c r="D548" t="s">
        <v>25</v>
      </c>
      <c r="E548" s="4">
        <v>3334.75</v>
      </c>
      <c r="F548" s="2">
        <v>45</v>
      </c>
      <c r="G548" t="s">
        <v>29</v>
      </c>
      <c r="H548">
        <v>2693.99</v>
      </c>
      <c r="I548">
        <v>3045.9399999999901</v>
      </c>
      <c r="J548" t="s">
        <v>30</v>
      </c>
      <c r="K548" s="5">
        <v>0.01</v>
      </c>
      <c r="L548" t="s">
        <v>18</v>
      </c>
      <c r="M548" t="s">
        <v>22</v>
      </c>
      <c r="N548" t="s">
        <v>32</v>
      </c>
      <c r="O548" t="str">
        <f t="shared" si="24"/>
        <v>January</v>
      </c>
      <c r="P548">
        <f t="shared" si="25"/>
        <v>1</v>
      </c>
      <c r="Q548">
        <f t="shared" si="26"/>
        <v>2023</v>
      </c>
    </row>
    <row r="549" spans="1:17" x14ac:dyDescent="0.25">
      <c r="A549">
        <v>1012</v>
      </c>
      <c r="B549" s="1">
        <v>45085</v>
      </c>
      <c r="C549" t="s">
        <v>14</v>
      </c>
      <c r="D549" t="s">
        <v>34</v>
      </c>
      <c r="E549" s="4">
        <v>3608.81</v>
      </c>
      <c r="F549" s="2">
        <v>19</v>
      </c>
      <c r="G549" t="s">
        <v>16</v>
      </c>
      <c r="H549">
        <v>3457.28</v>
      </c>
      <c r="I549">
        <v>3598.72</v>
      </c>
      <c r="J549" t="s">
        <v>30</v>
      </c>
      <c r="K549" s="5">
        <v>0.27</v>
      </c>
      <c r="L549" t="s">
        <v>27</v>
      </c>
      <c r="M549" t="s">
        <v>19</v>
      </c>
      <c r="N549" t="s">
        <v>46</v>
      </c>
      <c r="O549" t="str">
        <f t="shared" si="24"/>
        <v>June</v>
      </c>
      <c r="P549">
        <f t="shared" si="25"/>
        <v>6</v>
      </c>
      <c r="Q549">
        <f t="shared" si="26"/>
        <v>2023</v>
      </c>
    </row>
    <row r="550" spans="1:17" x14ac:dyDescent="0.25">
      <c r="A550">
        <v>1050</v>
      </c>
      <c r="B550" s="1">
        <v>45078</v>
      </c>
      <c r="C550" t="s">
        <v>14</v>
      </c>
      <c r="D550" t="s">
        <v>25</v>
      </c>
      <c r="E550" s="4">
        <v>5105.78</v>
      </c>
      <c r="F550" s="2">
        <v>23</v>
      </c>
      <c r="G550" t="s">
        <v>16</v>
      </c>
      <c r="H550">
        <v>3756.06</v>
      </c>
      <c r="I550">
        <v>4255.7299999999996</v>
      </c>
      <c r="J550" t="s">
        <v>17</v>
      </c>
      <c r="K550" s="5">
        <v>0.04</v>
      </c>
      <c r="L550" t="s">
        <v>18</v>
      </c>
      <c r="M550" t="s">
        <v>19</v>
      </c>
      <c r="N550" t="s">
        <v>32</v>
      </c>
      <c r="O550" t="str">
        <f t="shared" si="24"/>
        <v>June</v>
      </c>
      <c r="P550">
        <f t="shared" si="25"/>
        <v>6</v>
      </c>
      <c r="Q550">
        <f t="shared" si="26"/>
        <v>2023</v>
      </c>
    </row>
    <row r="551" spans="1:17" x14ac:dyDescent="0.25">
      <c r="A551">
        <v>1035</v>
      </c>
      <c r="B551" s="1">
        <v>45034</v>
      </c>
      <c r="C551" t="s">
        <v>24</v>
      </c>
      <c r="D551" t="s">
        <v>25</v>
      </c>
      <c r="E551" s="4">
        <v>9417.1</v>
      </c>
      <c r="F551" s="2">
        <v>34</v>
      </c>
      <c r="G551" t="s">
        <v>26</v>
      </c>
      <c r="H551">
        <v>1105.05</v>
      </c>
      <c r="I551">
        <v>1200.96</v>
      </c>
      <c r="J551" t="s">
        <v>17</v>
      </c>
      <c r="K551" s="5">
        <v>0.19</v>
      </c>
      <c r="L551" t="s">
        <v>18</v>
      </c>
      <c r="M551" t="s">
        <v>19</v>
      </c>
      <c r="N551" t="s">
        <v>28</v>
      </c>
      <c r="O551" t="str">
        <f t="shared" si="24"/>
        <v>April</v>
      </c>
      <c r="P551">
        <f t="shared" si="25"/>
        <v>4</v>
      </c>
      <c r="Q551">
        <f t="shared" si="26"/>
        <v>2023</v>
      </c>
    </row>
    <row r="552" spans="1:17" x14ac:dyDescent="0.25">
      <c r="A552">
        <v>1033</v>
      </c>
      <c r="B552" s="1">
        <v>45114</v>
      </c>
      <c r="C552" t="s">
        <v>38</v>
      </c>
      <c r="D552" t="s">
        <v>34</v>
      </c>
      <c r="E552" s="4">
        <v>8775.56</v>
      </c>
      <c r="F552" s="2">
        <v>13</v>
      </c>
      <c r="G552" t="s">
        <v>26</v>
      </c>
      <c r="H552">
        <v>4342.53</v>
      </c>
      <c r="I552">
        <v>4357.49</v>
      </c>
      <c r="J552" t="s">
        <v>30</v>
      </c>
      <c r="K552" s="5">
        <v>0.08</v>
      </c>
      <c r="L552" t="s">
        <v>27</v>
      </c>
      <c r="M552" t="s">
        <v>19</v>
      </c>
      <c r="N552" t="s">
        <v>48</v>
      </c>
      <c r="O552" t="str">
        <f t="shared" si="24"/>
        <v>July</v>
      </c>
      <c r="P552">
        <f t="shared" si="25"/>
        <v>7</v>
      </c>
      <c r="Q552">
        <f t="shared" si="26"/>
        <v>2023</v>
      </c>
    </row>
    <row r="553" spans="1:17" x14ac:dyDescent="0.25">
      <c r="A553">
        <v>1033</v>
      </c>
      <c r="B553" s="1">
        <v>45227</v>
      </c>
      <c r="C553" t="s">
        <v>24</v>
      </c>
      <c r="D553" t="s">
        <v>15</v>
      </c>
      <c r="E553" s="4">
        <v>1115.42</v>
      </c>
      <c r="F553" s="2">
        <v>43</v>
      </c>
      <c r="G553" t="s">
        <v>29</v>
      </c>
      <c r="H553">
        <v>4781.42</v>
      </c>
      <c r="I553">
        <v>4864.34</v>
      </c>
      <c r="J553" t="s">
        <v>17</v>
      </c>
      <c r="K553" s="5">
        <v>0.25</v>
      </c>
      <c r="L553" t="s">
        <v>27</v>
      </c>
      <c r="M553" t="s">
        <v>19</v>
      </c>
      <c r="N553" t="s">
        <v>45</v>
      </c>
      <c r="O553" t="str">
        <f t="shared" si="24"/>
        <v>October</v>
      </c>
      <c r="P553">
        <f t="shared" si="25"/>
        <v>10</v>
      </c>
      <c r="Q553">
        <f t="shared" si="26"/>
        <v>2023</v>
      </c>
    </row>
    <row r="554" spans="1:17" x14ac:dyDescent="0.25">
      <c r="A554">
        <v>1061</v>
      </c>
      <c r="B554" s="1">
        <v>45024</v>
      </c>
      <c r="C554" t="s">
        <v>33</v>
      </c>
      <c r="D554" t="s">
        <v>34</v>
      </c>
      <c r="E554" s="4">
        <v>3988.03</v>
      </c>
      <c r="F554" s="2">
        <v>29</v>
      </c>
      <c r="G554" t="s">
        <v>29</v>
      </c>
      <c r="H554">
        <v>1221.74</v>
      </c>
      <c r="I554">
        <v>1611.92</v>
      </c>
      <c r="J554" t="s">
        <v>30</v>
      </c>
      <c r="K554" s="5">
        <v>0.15</v>
      </c>
      <c r="L554" t="s">
        <v>18</v>
      </c>
      <c r="M554" t="s">
        <v>22</v>
      </c>
      <c r="N554" t="s">
        <v>36</v>
      </c>
      <c r="O554" t="str">
        <f t="shared" si="24"/>
        <v>April</v>
      </c>
      <c r="P554">
        <f t="shared" si="25"/>
        <v>4</v>
      </c>
      <c r="Q554">
        <f t="shared" si="26"/>
        <v>2023</v>
      </c>
    </row>
    <row r="555" spans="1:17" x14ac:dyDescent="0.25">
      <c r="A555">
        <v>1051</v>
      </c>
      <c r="B555" s="1">
        <v>45057</v>
      </c>
      <c r="C555" t="s">
        <v>14</v>
      </c>
      <c r="D555" t="s">
        <v>15</v>
      </c>
      <c r="E555" s="4">
        <v>5578.37</v>
      </c>
      <c r="F555" s="2">
        <v>36</v>
      </c>
      <c r="G555" t="s">
        <v>26</v>
      </c>
      <c r="H555">
        <v>4418.95</v>
      </c>
      <c r="I555">
        <v>4647.87</v>
      </c>
      <c r="J555" t="s">
        <v>30</v>
      </c>
      <c r="K555" s="5">
        <v>0.04</v>
      </c>
      <c r="L555" t="s">
        <v>27</v>
      </c>
      <c r="M555" t="s">
        <v>19</v>
      </c>
      <c r="N555" t="s">
        <v>20</v>
      </c>
      <c r="O555" t="str">
        <f t="shared" si="24"/>
        <v>May</v>
      </c>
      <c r="P555">
        <f t="shared" si="25"/>
        <v>5</v>
      </c>
      <c r="Q555">
        <f t="shared" si="26"/>
        <v>2023</v>
      </c>
    </row>
    <row r="556" spans="1:17" x14ac:dyDescent="0.25">
      <c r="A556">
        <v>1043</v>
      </c>
      <c r="B556" s="1">
        <v>45219</v>
      </c>
      <c r="C556" t="s">
        <v>33</v>
      </c>
      <c r="D556" t="s">
        <v>25</v>
      </c>
      <c r="E556" s="4">
        <v>5081.01</v>
      </c>
      <c r="F556" s="2">
        <v>22</v>
      </c>
      <c r="G556" t="s">
        <v>26</v>
      </c>
      <c r="H556">
        <v>530.04</v>
      </c>
      <c r="I556">
        <v>759.31999999999903</v>
      </c>
      <c r="J556" t="s">
        <v>17</v>
      </c>
      <c r="K556" s="5">
        <v>0.17</v>
      </c>
      <c r="L556" t="s">
        <v>27</v>
      </c>
      <c r="M556" t="s">
        <v>22</v>
      </c>
      <c r="N556" t="s">
        <v>44</v>
      </c>
      <c r="O556" t="str">
        <f t="shared" si="24"/>
        <v>October</v>
      </c>
      <c r="P556">
        <f t="shared" si="25"/>
        <v>10</v>
      </c>
      <c r="Q556">
        <f t="shared" si="26"/>
        <v>2023</v>
      </c>
    </row>
    <row r="557" spans="1:17" x14ac:dyDescent="0.25">
      <c r="A557">
        <v>1012</v>
      </c>
      <c r="B557" s="1">
        <v>45097</v>
      </c>
      <c r="C557" t="s">
        <v>42</v>
      </c>
      <c r="D557" t="s">
        <v>25</v>
      </c>
      <c r="E557" s="4">
        <v>2019.24</v>
      </c>
      <c r="F557" s="2">
        <v>47</v>
      </c>
      <c r="G557" t="s">
        <v>29</v>
      </c>
      <c r="H557">
        <v>325.75</v>
      </c>
      <c r="I557">
        <v>803.71</v>
      </c>
      <c r="J557" t="s">
        <v>30</v>
      </c>
      <c r="K557" s="5">
        <v>0.12</v>
      </c>
      <c r="L557" t="s">
        <v>27</v>
      </c>
      <c r="M557" t="s">
        <v>22</v>
      </c>
      <c r="N557" t="s">
        <v>43</v>
      </c>
      <c r="O557" t="str">
        <f t="shared" si="24"/>
        <v>June</v>
      </c>
      <c r="P557">
        <f t="shared" si="25"/>
        <v>6</v>
      </c>
      <c r="Q557">
        <f t="shared" si="26"/>
        <v>2023</v>
      </c>
    </row>
    <row r="558" spans="1:17" x14ac:dyDescent="0.25">
      <c r="A558">
        <v>1067</v>
      </c>
      <c r="B558" s="1">
        <v>45109</v>
      </c>
      <c r="C558" t="s">
        <v>42</v>
      </c>
      <c r="D558" t="s">
        <v>15</v>
      </c>
      <c r="E558" s="4">
        <v>8602.2900000000009</v>
      </c>
      <c r="F558" s="2">
        <v>36</v>
      </c>
      <c r="G558" t="s">
        <v>35</v>
      </c>
      <c r="H558">
        <v>689.66</v>
      </c>
      <c r="I558">
        <v>1150.28</v>
      </c>
      <c r="J558" t="s">
        <v>30</v>
      </c>
      <c r="K558" s="5">
        <v>0.2</v>
      </c>
      <c r="L558" t="s">
        <v>27</v>
      </c>
      <c r="M558" t="s">
        <v>19</v>
      </c>
      <c r="N558" t="s">
        <v>49</v>
      </c>
      <c r="O558" t="str">
        <f t="shared" si="24"/>
        <v>July</v>
      </c>
      <c r="P558">
        <f t="shared" si="25"/>
        <v>7</v>
      </c>
      <c r="Q558">
        <f t="shared" si="26"/>
        <v>2023</v>
      </c>
    </row>
    <row r="559" spans="1:17" x14ac:dyDescent="0.25">
      <c r="A559">
        <v>1065</v>
      </c>
      <c r="B559" s="1">
        <v>45290</v>
      </c>
      <c r="C559" t="s">
        <v>24</v>
      </c>
      <c r="D559" t="s">
        <v>25</v>
      </c>
      <c r="E559" s="4">
        <v>6801.71</v>
      </c>
      <c r="F559" s="2">
        <v>9</v>
      </c>
      <c r="G559" t="s">
        <v>29</v>
      </c>
      <c r="H559">
        <v>335.82</v>
      </c>
      <c r="I559">
        <v>498.31</v>
      </c>
      <c r="J559" t="s">
        <v>30</v>
      </c>
      <c r="K559" s="5">
        <v>0.26</v>
      </c>
      <c r="L559" t="s">
        <v>18</v>
      </c>
      <c r="M559" t="s">
        <v>22</v>
      </c>
      <c r="N559" t="s">
        <v>28</v>
      </c>
      <c r="O559" t="str">
        <f t="shared" si="24"/>
        <v>December</v>
      </c>
      <c r="P559">
        <f t="shared" si="25"/>
        <v>12</v>
      </c>
      <c r="Q559">
        <f t="shared" si="26"/>
        <v>2023</v>
      </c>
    </row>
    <row r="560" spans="1:17" x14ac:dyDescent="0.25">
      <c r="A560">
        <v>1033</v>
      </c>
      <c r="B560" s="1">
        <v>44965</v>
      </c>
      <c r="C560" t="s">
        <v>38</v>
      </c>
      <c r="D560" t="s">
        <v>15</v>
      </c>
      <c r="E560" s="4">
        <v>8395.2900000000009</v>
      </c>
      <c r="F560" s="2">
        <v>39</v>
      </c>
      <c r="G560" t="s">
        <v>35</v>
      </c>
      <c r="H560">
        <v>4232.8100000000004</v>
      </c>
      <c r="I560">
        <v>4345.25</v>
      </c>
      <c r="J560" t="s">
        <v>17</v>
      </c>
      <c r="K560" s="5">
        <v>0.12</v>
      </c>
      <c r="L560" t="s">
        <v>27</v>
      </c>
      <c r="M560" t="s">
        <v>19</v>
      </c>
      <c r="N560" t="s">
        <v>40</v>
      </c>
      <c r="O560" t="str">
        <f t="shared" si="24"/>
        <v>February</v>
      </c>
      <c r="P560">
        <f t="shared" si="25"/>
        <v>2</v>
      </c>
      <c r="Q560">
        <f t="shared" si="26"/>
        <v>2023</v>
      </c>
    </row>
    <row r="561" spans="1:17" x14ac:dyDescent="0.25">
      <c r="A561">
        <v>1040</v>
      </c>
      <c r="B561" s="1">
        <v>44941</v>
      </c>
      <c r="C561" t="s">
        <v>33</v>
      </c>
      <c r="D561" t="s">
        <v>15</v>
      </c>
      <c r="E561" s="4">
        <v>8601.77</v>
      </c>
      <c r="F561" s="2">
        <v>19</v>
      </c>
      <c r="G561" t="s">
        <v>16</v>
      </c>
      <c r="H561">
        <v>342.3</v>
      </c>
      <c r="I561">
        <v>768.06</v>
      </c>
      <c r="J561" t="s">
        <v>17</v>
      </c>
      <c r="K561" s="5">
        <v>0.09</v>
      </c>
      <c r="L561" t="s">
        <v>31</v>
      </c>
      <c r="M561" t="s">
        <v>19</v>
      </c>
      <c r="N561" t="s">
        <v>53</v>
      </c>
      <c r="O561" t="str">
        <f t="shared" si="24"/>
        <v>January</v>
      </c>
      <c r="P561">
        <f t="shared" si="25"/>
        <v>1</v>
      </c>
      <c r="Q561">
        <f t="shared" si="26"/>
        <v>2023</v>
      </c>
    </row>
    <row r="562" spans="1:17" x14ac:dyDescent="0.25">
      <c r="A562">
        <v>1074</v>
      </c>
      <c r="B562" s="1">
        <v>44930</v>
      </c>
      <c r="C562" t="s">
        <v>38</v>
      </c>
      <c r="D562" t="s">
        <v>25</v>
      </c>
      <c r="E562" s="4">
        <v>7508.72</v>
      </c>
      <c r="F562" s="2">
        <v>38</v>
      </c>
      <c r="G562" t="s">
        <v>16</v>
      </c>
      <c r="H562">
        <v>1394.74</v>
      </c>
      <c r="I562">
        <v>1848.69</v>
      </c>
      <c r="J562" t="s">
        <v>17</v>
      </c>
      <c r="K562" s="5">
        <v>0</v>
      </c>
      <c r="L562" t="s">
        <v>27</v>
      </c>
      <c r="M562" t="s">
        <v>22</v>
      </c>
      <c r="N562" t="s">
        <v>39</v>
      </c>
      <c r="O562" t="str">
        <f t="shared" si="24"/>
        <v>January</v>
      </c>
      <c r="P562">
        <f t="shared" si="25"/>
        <v>1</v>
      </c>
      <c r="Q562">
        <f t="shared" si="26"/>
        <v>2023</v>
      </c>
    </row>
    <row r="563" spans="1:17" x14ac:dyDescent="0.25">
      <c r="A563">
        <v>1043</v>
      </c>
      <c r="B563" s="1">
        <v>45275</v>
      </c>
      <c r="C563" t="s">
        <v>24</v>
      </c>
      <c r="D563" t="s">
        <v>21</v>
      </c>
      <c r="E563" s="4">
        <v>4448.18</v>
      </c>
      <c r="F563" s="2">
        <v>6</v>
      </c>
      <c r="G563" t="s">
        <v>29</v>
      </c>
      <c r="H563">
        <v>563.59</v>
      </c>
      <c r="I563">
        <v>838.97</v>
      </c>
      <c r="J563" t="s">
        <v>30</v>
      </c>
      <c r="K563" s="5">
        <v>0.17</v>
      </c>
      <c r="L563" t="s">
        <v>31</v>
      </c>
      <c r="M563" t="s">
        <v>19</v>
      </c>
      <c r="N563" t="s">
        <v>47</v>
      </c>
      <c r="O563" t="str">
        <f t="shared" si="24"/>
        <v>December</v>
      </c>
      <c r="P563">
        <f t="shared" si="25"/>
        <v>12</v>
      </c>
      <c r="Q563">
        <f t="shared" si="26"/>
        <v>2023</v>
      </c>
    </row>
    <row r="564" spans="1:17" x14ac:dyDescent="0.25">
      <c r="A564">
        <v>1044</v>
      </c>
      <c r="B564" s="1">
        <v>45136</v>
      </c>
      <c r="C564" t="s">
        <v>42</v>
      </c>
      <c r="D564" t="s">
        <v>15</v>
      </c>
      <c r="E564" s="4">
        <v>6144.41</v>
      </c>
      <c r="F564" s="2">
        <v>47</v>
      </c>
      <c r="G564" t="s">
        <v>35</v>
      </c>
      <c r="H564">
        <v>1512.34</v>
      </c>
      <c r="I564">
        <v>1830.76</v>
      </c>
      <c r="J564" t="s">
        <v>30</v>
      </c>
      <c r="K564" s="5">
        <v>0.12</v>
      </c>
      <c r="L564" t="s">
        <v>27</v>
      </c>
      <c r="M564" t="s">
        <v>19</v>
      </c>
      <c r="N564" t="s">
        <v>49</v>
      </c>
      <c r="O564" t="str">
        <f t="shared" si="24"/>
        <v>July</v>
      </c>
      <c r="P564">
        <f t="shared" si="25"/>
        <v>7</v>
      </c>
      <c r="Q564">
        <f t="shared" si="26"/>
        <v>2023</v>
      </c>
    </row>
    <row r="565" spans="1:17" x14ac:dyDescent="0.25">
      <c r="A565">
        <v>1029</v>
      </c>
      <c r="B565" s="1">
        <v>45087</v>
      </c>
      <c r="C565" t="s">
        <v>38</v>
      </c>
      <c r="D565" t="s">
        <v>34</v>
      </c>
      <c r="E565" s="4">
        <v>1687.62</v>
      </c>
      <c r="F565" s="2">
        <v>15</v>
      </c>
      <c r="G565" t="s">
        <v>29</v>
      </c>
      <c r="H565">
        <v>498.27</v>
      </c>
      <c r="I565">
        <v>634.16</v>
      </c>
      <c r="J565" t="s">
        <v>17</v>
      </c>
      <c r="K565" s="5">
        <v>0.11</v>
      </c>
      <c r="L565" t="s">
        <v>31</v>
      </c>
      <c r="M565" t="s">
        <v>22</v>
      </c>
      <c r="N565" t="s">
        <v>48</v>
      </c>
      <c r="O565" t="str">
        <f t="shared" si="24"/>
        <v>June</v>
      </c>
      <c r="P565">
        <f t="shared" si="25"/>
        <v>6</v>
      </c>
      <c r="Q565">
        <f t="shared" si="26"/>
        <v>2023</v>
      </c>
    </row>
    <row r="566" spans="1:17" x14ac:dyDescent="0.25">
      <c r="A566">
        <v>1013</v>
      </c>
      <c r="B566" s="1">
        <v>44942</v>
      </c>
      <c r="C566" t="s">
        <v>38</v>
      </c>
      <c r="D566" t="s">
        <v>34</v>
      </c>
      <c r="E566" s="4">
        <v>6769.09</v>
      </c>
      <c r="F566" s="2">
        <v>20</v>
      </c>
      <c r="G566" t="s">
        <v>29</v>
      </c>
      <c r="H566">
        <v>3356.62</v>
      </c>
      <c r="I566">
        <v>3759.0099999999902</v>
      </c>
      <c r="J566" t="s">
        <v>17</v>
      </c>
      <c r="K566" s="5">
        <v>0.05</v>
      </c>
      <c r="L566" t="s">
        <v>31</v>
      </c>
      <c r="M566" t="s">
        <v>22</v>
      </c>
      <c r="N566" t="s">
        <v>48</v>
      </c>
      <c r="O566" t="str">
        <f t="shared" si="24"/>
        <v>January</v>
      </c>
      <c r="P566">
        <f t="shared" si="25"/>
        <v>1</v>
      </c>
      <c r="Q566">
        <f t="shared" si="26"/>
        <v>2023</v>
      </c>
    </row>
    <row r="567" spans="1:17" x14ac:dyDescent="0.25">
      <c r="A567">
        <v>1012</v>
      </c>
      <c r="B567" s="1">
        <v>45034</v>
      </c>
      <c r="C567" t="s">
        <v>42</v>
      </c>
      <c r="D567" t="s">
        <v>25</v>
      </c>
      <c r="E567" s="4">
        <v>1874.61</v>
      </c>
      <c r="F567" s="2">
        <v>9</v>
      </c>
      <c r="G567" t="s">
        <v>35</v>
      </c>
      <c r="H567">
        <v>709.97</v>
      </c>
      <c r="I567">
        <v>1029.71</v>
      </c>
      <c r="J567" t="s">
        <v>17</v>
      </c>
      <c r="K567" s="5">
        <v>0.13</v>
      </c>
      <c r="L567" t="s">
        <v>27</v>
      </c>
      <c r="M567" t="s">
        <v>22</v>
      </c>
      <c r="N567" t="s">
        <v>43</v>
      </c>
      <c r="O567" t="str">
        <f t="shared" si="24"/>
        <v>April</v>
      </c>
      <c r="P567">
        <f t="shared" si="25"/>
        <v>4</v>
      </c>
      <c r="Q567">
        <f t="shared" si="26"/>
        <v>2023</v>
      </c>
    </row>
    <row r="568" spans="1:17" x14ac:dyDescent="0.25">
      <c r="A568">
        <v>1095</v>
      </c>
      <c r="B568" s="1">
        <v>45237</v>
      </c>
      <c r="C568" t="s">
        <v>33</v>
      </c>
      <c r="D568" t="s">
        <v>21</v>
      </c>
      <c r="E568" s="4">
        <v>6970.1</v>
      </c>
      <c r="F568" s="2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 s="5">
        <v>0.3</v>
      </c>
      <c r="L568" t="s">
        <v>27</v>
      </c>
      <c r="M568" t="s">
        <v>22</v>
      </c>
      <c r="N568" t="s">
        <v>37</v>
      </c>
      <c r="O568" t="str">
        <f t="shared" si="24"/>
        <v>November</v>
      </c>
      <c r="P568">
        <f t="shared" si="25"/>
        <v>11</v>
      </c>
      <c r="Q568">
        <f t="shared" si="26"/>
        <v>2023</v>
      </c>
    </row>
    <row r="569" spans="1:17" x14ac:dyDescent="0.25">
      <c r="A569">
        <v>1046</v>
      </c>
      <c r="B569" s="1">
        <v>45153</v>
      </c>
      <c r="C569" t="s">
        <v>42</v>
      </c>
      <c r="D569" t="s">
        <v>25</v>
      </c>
      <c r="E569" s="4">
        <v>2373.02</v>
      </c>
      <c r="F569" s="2">
        <v>4</v>
      </c>
      <c r="G569" t="s">
        <v>16</v>
      </c>
      <c r="H569">
        <v>4095.1</v>
      </c>
      <c r="I569">
        <v>4134.55</v>
      </c>
      <c r="J569" t="s">
        <v>17</v>
      </c>
      <c r="K569" s="5">
        <v>0.09</v>
      </c>
      <c r="L569" t="s">
        <v>27</v>
      </c>
      <c r="M569" t="s">
        <v>22</v>
      </c>
      <c r="N569" t="s">
        <v>43</v>
      </c>
      <c r="O569" t="str">
        <f t="shared" si="24"/>
        <v>August</v>
      </c>
      <c r="P569">
        <f t="shared" si="25"/>
        <v>8</v>
      </c>
      <c r="Q569">
        <f t="shared" si="26"/>
        <v>2023</v>
      </c>
    </row>
    <row r="570" spans="1:17" x14ac:dyDescent="0.25">
      <c r="A570">
        <v>1002</v>
      </c>
      <c r="B570" s="1">
        <v>45096</v>
      </c>
      <c r="C570" t="s">
        <v>38</v>
      </c>
      <c r="D570" t="s">
        <v>21</v>
      </c>
      <c r="E570" s="4">
        <v>1263.76</v>
      </c>
      <c r="F570" s="2">
        <v>18</v>
      </c>
      <c r="G570" t="s">
        <v>26</v>
      </c>
      <c r="H570">
        <v>117.63</v>
      </c>
      <c r="I570">
        <v>576.44000000000005</v>
      </c>
      <c r="J570" t="s">
        <v>30</v>
      </c>
      <c r="K570" s="5">
        <v>0.18</v>
      </c>
      <c r="L570" t="s">
        <v>31</v>
      </c>
      <c r="M570" t="s">
        <v>22</v>
      </c>
      <c r="N570" t="s">
        <v>41</v>
      </c>
      <c r="O570" t="str">
        <f t="shared" si="24"/>
        <v>June</v>
      </c>
      <c r="P570">
        <f t="shared" si="25"/>
        <v>6</v>
      </c>
      <c r="Q570">
        <f t="shared" si="26"/>
        <v>2023</v>
      </c>
    </row>
    <row r="571" spans="1:17" x14ac:dyDescent="0.25">
      <c r="A571">
        <v>1035</v>
      </c>
      <c r="B571" s="1">
        <v>44960</v>
      </c>
      <c r="C571" t="s">
        <v>33</v>
      </c>
      <c r="D571" t="s">
        <v>15</v>
      </c>
      <c r="E571" s="4">
        <v>1736.32</v>
      </c>
      <c r="F571" s="2">
        <v>5</v>
      </c>
      <c r="G571" t="s">
        <v>26</v>
      </c>
      <c r="H571">
        <v>4483.8500000000004</v>
      </c>
      <c r="I571">
        <v>4795.42</v>
      </c>
      <c r="J571" t="s">
        <v>17</v>
      </c>
      <c r="K571" s="5">
        <v>0.23</v>
      </c>
      <c r="L571" t="s">
        <v>18</v>
      </c>
      <c r="M571" t="s">
        <v>19</v>
      </c>
      <c r="N571" t="s">
        <v>53</v>
      </c>
      <c r="O571" t="str">
        <f t="shared" si="24"/>
        <v>February</v>
      </c>
      <c r="P571">
        <f t="shared" si="25"/>
        <v>2</v>
      </c>
      <c r="Q571">
        <f t="shared" si="26"/>
        <v>2023</v>
      </c>
    </row>
    <row r="572" spans="1:17" x14ac:dyDescent="0.25">
      <c r="A572">
        <v>1087</v>
      </c>
      <c r="B572" s="1">
        <v>45177</v>
      </c>
      <c r="C572" t="s">
        <v>33</v>
      </c>
      <c r="D572" t="s">
        <v>15</v>
      </c>
      <c r="E572" s="4">
        <v>119.72</v>
      </c>
      <c r="F572" s="2">
        <v>20</v>
      </c>
      <c r="G572" t="s">
        <v>29</v>
      </c>
      <c r="H572">
        <v>193.27</v>
      </c>
      <c r="I572">
        <v>297.69</v>
      </c>
      <c r="J572" t="s">
        <v>30</v>
      </c>
      <c r="K572" s="5">
        <v>0.22</v>
      </c>
      <c r="L572" t="s">
        <v>18</v>
      </c>
      <c r="M572" t="s">
        <v>19</v>
      </c>
      <c r="N572" t="s">
        <v>53</v>
      </c>
      <c r="O572" t="str">
        <f t="shared" si="24"/>
        <v>September</v>
      </c>
      <c r="P572">
        <f t="shared" si="25"/>
        <v>9</v>
      </c>
      <c r="Q572">
        <f t="shared" si="26"/>
        <v>2023</v>
      </c>
    </row>
    <row r="573" spans="1:17" x14ac:dyDescent="0.25">
      <c r="A573">
        <v>1081</v>
      </c>
      <c r="B573" s="1">
        <v>45173</v>
      </c>
      <c r="C573" t="s">
        <v>42</v>
      </c>
      <c r="D573" t="s">
        <v>15</v>
      </c>
      <c r="E573" s="4">
        <v>7215.52</v>
      </c>
      <c r="F573" s="2">
        <v>23</v>
      </c>
      <c r="G573" t="s">
        <v>35</v>
      </c>
      <c r="H573">
        <v>1236.25</v>
      </c>
      <c r="I573">
        <v>1543.38</v>
      </c>
      <c r="J573" t="s">
        <v>30</v>
      </c>
      <c r="K573" s="5">
        <v>0.1</v>
      </c>
      <c r="L573" t="s">
        <v>27</v>
      </c>
      <c r="M573" t="s">
        <v>19</v>
      </c>
      <c r="N573" t="s">
        <v>49</v>
      </c>
      <c r="O573" t="str">
        <f t="shared" si="24"/>
        <v>September</v>
      </c>
      <c r="P573">
        <f t="shared" si="25"/>
        <v>9</v>
      </c>
      <c r="Q573">
        <f t="shared" si="26"/>
        <v>2023</v>
      </c>
    </row>
    <row r="574" spans="1:17" x14ac:dyDescent="0.25">
      <c r="A574">
        <v>1090</v>
      </c>
      <c r="B574" s="1">
        <v>45195</v>
      </c>
      <c r="C574" t="s">
        <v>38</v>
      </c>
      <c r="D574" t="s">
        <v>15</v>
      </c>
      <c r="E574" s="4">
        <v>7350.77</v>
      </c>
      <c r="F574" s="2">
        <v>11</v>
      </c>
      <c r="G574" t="s">
        <v>35</v>
      </c>
      <c r="H574">
        <v>210.33</v>
      </c>
      <c r="I574">
        <v>552.29</v>
      </c>
      <c r="J574" t="s">
        <v>17</v>
      </c>
      <c r="K574" s="5">
        <v>0.18</v>
      </c>
      <c r="L574" t="s">
        <v>18</v>
      </c>
      <c r="M574" t="s">
        <v>22</v>
      </c>
      <c r="N574" t="s">
        <v>40</v>
      </c>
      <c r="O574" t="str">
        <f t="shared" si="24"/>
        <v>September</v>
      </c>
      <c r="P574">
        <f t="shared" si="25"/>
        <v>9</v>
      </c>
      <c r="Q574">
        <f t="shared" si="26"/>
        <v>2023</v>
      </c>
    </row>
    <row r="575" spans="1:17" x14ac:dyDescent="0.25">
      <c r="A575">
        <v>1008</v>
      </c>
      <c r="B575" s="1">
        <v>45067</v>
      </c>
      <c r="C575" t="s">
        <v>24</v>
      </c>
      <c r="D575" t="s">
        <v>34</v>
      </c>
      <c r="E575" s="4">
        <v>5197.84</v>
      </c>
      <c r="F575" s="2">
        <v>37</v>
      </c>
      <c r="G575" t="s">
        <v>16</v>
      </c>
      <c r="H575">
        <v>1712.43</v>
      </c>
      <c r="I575">
        <v>1980.06</v>
      </c>
      <c r="J575" t="s">
        <v>30</v>
      </c>
      <c r="K575" s="5">
        <v>0.26</v>
      </c>
      <c r="L575" t="s">
        <v>18</v>
      </c>
      <c r="M575" t="s">
        <v>19</v>
      </c>
      <c r="N575" t="s">
        <v>50</v>
      </c>
      <c r="O575" t="str">
        <f t="shared" si="24"/>
        <v>May</v>
      </c>
      <c r="P575">
        <f t="shared" si="25"/>
        <v>5</v>
      </c>
      <c r="Q575">
        <f t="shared" si="26"/>
        <v>2023</v>
      </c>
    </row>
    <row r="576" spans="1:17" x14ac:dyDescent="0.25">
      <c r="A576">
        <v>1093</v>
      </c>
      <c r="B576" s="1">
        <v>45200</v>
      </c>
      <c r="C576" t="s">
        <v>38</v>
      </c>
      <c r="D576" t="s">
        <v>34</v>
      </c>
      <c r="E576" s="4">
        <v>1697.49</v>
      </c>
      <c r="F576" s="2">
        <v>22</v>
      </c>
      <c r="G576" t="s">
        <v>35</v>
      </c>
      <c r="H576">
        <v>2593.64</v>
      </c>
      <c r="I576">
        <v>2955.5099999999902</v>
      </c>
      <c r="J576" t="s">
        <v>17</v>
      </c>
      <c r="K576" s="5">
        <v>0</v>
      </c>
      <c r="L576" t="s">
        <v>27</v>
      </c>
      <c r="M576" t="s">
        <v>22</v>
      </c>
      <c r="N576" t="s">
        <v>48</v>
      </c>
      <c r="O576" t="str">
        <f t="shared" si="24"/>
        <v>October</v>
      </c>
      <c r="P576">
        <f t="shared" si="25"/>
        <v>10</v>
      </c>
      <c r="Q576">
        <f t="shared" si="26"/>
        <v>2023</v>
      </c>
    </row>
    <row r="577" spans="1:17" x14ac:dyDescent="0.25">
      <c r="A577">
        <v>1026</v>
      </c>
      <c r="B577" s="1">
        <v>45022</v>
      </c>
      <c r="C577" t="s">
        <v>14</v>
      </c>
      <c r="D577" t="s">
        <v>25</v>
      </c>
      <c r="E577" s="4">
        <v>927.19</v>
      </c>
      <c r="F577" s="2">
        <v>4</v>
      </c>
      <c r="G577" t="s">
        <v>35</v>
      </c>
      <c r="H577">
        <v>3993.39</v>
      </c>
      <c r="I577">
        <v>4288.3</v>
      </c>
      <c r="J577" t="s">
        <v>30</v>
      </c>
      <c r="K577" s="5">
        <v>0.13</v>
      </c>
      <c r="L577" t="s">
        <v>31</v>
      </c>
      <c r="M577" t="s">
        <v>19</v>
      </c>
      <c r="N577" t="s">
        <v>32</v>
      </c>
      <c r="O577" t="str">
        <f t="shared" si="24"/>
        <v>April</v>
      </c>
      <c r="P577">
        <f t="shared" si="25"/>
        <v>4</v>
      </c>
      <c r="Q577">
        <f t="shared" si="26"/>
        <v>2023</v>
      </c>
    </row>
    <row r="578" spans="1:17" x14ac:dyDescent="0.25">
      <c r="A578">
        <v>1074</v>
      </c>
      <c r="B578" s="1">
        <v>45153</v>
      </c>
      <c r="C578" t="s">
        <v>24</v>
      </c>
      <c r="D578" t="s">
        <v>21</v>
      </c>
      <c r="E578" s="4">
        <v>289.38</v>
      </c>
      <c r="F578" s="2">
        <v>29</v>
      </c>
      <c r="G578" t="s">
        <v>16</v>
      </c>
      <c r="H578">
        <v>1723.01</v>
      </c>
      <c r="I578">
        <v>2197.42</v>
      </c>
      <c r="J578" t="s">
        <v>30</v>
      </c>
      <c r="K578" s="5">
        <v>7.0000000000000007E-2</v>
      </c>
      <c r="L578" t="s">
        <v>27</v>
      </c>
      <c r="M578" t="s">
        <v>22</v>
      </c>
      <c r="N578" t="s">
        <v>47</v>
      </c>
      <c r="O578" t="str">
        <f t="shared" ref="O578:O641" si="27">TEXT(B578,"mmmm")</f>
        <v>August</v>
      </c>
      <c r="P578">
        <f t="shared" ref="P578:P641" si="28">MONTH(B578)</f>
        <v>8</v>
      </c>
      <c r="Q578">
        <f t="shared" ref="Q578:Q641" si="29">YEAR(B578)</f>
        <v>2023</v>
      </c>
    </row>
    <row r="579" spans="1:17" x14ac:dyDescent="0.25">
      <c r="A579">
        <v>1090</v>
      </c>
      <c r="B579" s="1">
        <v>44965</v>
      </c>
      <c r="C579" t="s">
        <v>33</v>
      </c>
      <c r="D579" t="s">
        <v>15</v>
      </c>
      <c r="E579" s="4">
        <v>1740.91</v>
      </c>
      <c r="F579" s="2">
        <v>44</v>
      </c>
      <c r="G579" t="s">
        <v>29</v>
      </c>
      <c r="H579">
        <v>3542.18</v>
      </c>
      <c r="I579">
        <v>3578.49</v>
      </c>
      <c r="J579" t="s">
        <v>17</v>
      </c>
      <c r="K579" s="5">
        <v>0.12</v>
      </c>
      <c r="L579" t="s">
        <v>18</v>
      </c>
      <c r="M579" t="s">
        <v>19</v>
      </c>
      <c r="N579" t="s">
        <v>53</v>
      </c>
      <c r="O579" t="str">
        <f t="shared" si="27"/>
        <v>February</v>
      </c>
      <c r="P579">
        <f t="shared" si="28"/>
        <v>2</v>
      </c>
      <c r="Q579">
        <f t="shared" si="29"/>
        <v>2023</v>
      </c>
    </row>
    <row r="580" spans="1:17" x14ac:dyDescent="0.25">
      <c r="A580">
        <v>1034</v>
      </c>
      <c r="B580" s="1">
        <v>45228</v>
      </c>
      <c r="C580" t="s">
        <v>24</v>
      </c>
      <c r="D580" t="s">
        <v>15</v>
      </c>
      <c r="E580" s="4">
        <v>8919.4699999999993</v>
      </c>
      <c r="F580" s="2">
        <v>34</v>
      </c>
      <c r="G580" t="s">
        <v>26</v>
      </c>
      <c r="H580">
        <v>978.15</v>
      </c>
      <c r="I580">
        <v>1040.21</v>
      </c>
      <c r="J580" t="s">
        <v>30</v>
      </c>
      <c r="K580" s="5">
        <v>0.12</v>
      </c>
      <c r="L580" t="s">
        <v>31</v>
      </c>
      <c r="M580" t="s">
        <v>22</v>
      </c>
      <c r="N580" t="s">
        <v>45</v>
      </c>
      <c r="O580" t="str">
        <f t="shared" si="27"/>
        <v>October</v>
      </c>
      <c r="P580">
        <f t="shared" si="28"/>
        <v>10</v>
      </c>
      <c r="Q580">
        <f t="shared" si="29"/>
        <v>2023</v>
      </c>
    </row>
    <row r="581" spans="1:17" x14ac:dyDescent="0.25">
      <c r="A581">
        <v>1007</v>
      </c>
      <c r="B581" s="1">
        <v>44955</v>
      </c>
      <c r="C581" t="s">
        <v>33</v>
      </c>
      <c r="D581" t="s">
        <v>21</v>
      </c>
      <c r="E581" s="4">
        <v>2491.21</v>
      </c>
      <c r="F581" s="2">
        <v>13</v>
      </c>
      <c r="G581" t="s">
        <v>16</v>
      </c>
      <c r="H581">
        <v>3765.46</v>
      </c>
      <c r="I581">
        <v>3860.56</v>
      </c>
      <c r="J581" t="s">
        <v>17</v>
      </c>
      <c r="K581" s="5">
        <v>0.22</v>
      </c>
      <c r="L581" t="s">
        <v>18</v>
      </c>
      <c r="M581" t="s">
        <v>22</v>
      </c>
      <c r="N581" t="s">
        <v>37</v>
      </c>
      <c r="O581" t="str">
        <f t="shared" si="27"/>
        <v>January</v>
      </c>
      <c r="P581">
        <f t="shared" si="28"/>
        <v>1</v>
      </c>
      <c r="Q581">
        <f t="shared" si="29"/>
        <v>2023</v>
      </c>
    </row>
    <row r="582" spans="1:17" x14ac:dyDescent="0.25">
      <c r="A582">
        <v>1068</v>
      </c>
      <c r="B582" s="1">
        <v>45244</v>
      </c>
      <c r="C582" t="s">
        <v>33</v>
      </c>
      <c r="D582" t="s">
        <v>21</v>
      </c>
      <c r="E582" s="4">
        <v>3607.29</v>
      </c>
      <c r="F582" s="2">
        <v>42</v>
      </c>
      <c r="G582" t="s">
        <v>29</v>
      </c>
      <c r="H582">
        <v>1218.18</v>
      </c>
      <c r="I582">
        <v>1566.36</v>
      </c>
      <c r="J582" t="s">
        <v>17</v>
      </c>
      <c r="K582" s="5">
        <v>0.03</v>
      </c>
      <c r="L582" t="s">
        <v>31</v>
      </c>
      <c r="M582" t="s">
        <v>22</v>
      </c>
      <c r="N582" t="s">
        <v>37</v>
      </c>
      <c r="O582" t="str">
        <f t="shared" si="27"/>
        <v>November</v>
      </c>
      <c r="P582">
        <f t="shared" si="28"/>
        <v>11</v>
      </c>
      <c r="Q582">
        <f t="shared" si="29"/>
        <v>2023</v>
      </c>
    </row>
    <row r="583" spans="1:17" x14ac:dyDescent="0.25">
      <c r="A583">
        <v>1058</v>
      </c>
      <c r="B583" s="1">
        <v>45171</v>
      </c>
      <c r="C583" t="s">
        <v>24</v>
      </c>
      <c r="D583" t="s">
        <v>25</v>
      </c>
      <c r="E583" s="4">
        <v>1142.92</v>
      </c>
      <c r="F583" s="2">
        <v>9</v>
      </c>
      <c r="G583" t="s">
        <v>16</v>
      </c>
      <c r="H583">
        <v>760.55</v>
      </c>
      <c r="I583">
        <v>1086.8899999999901</v>
      </c>
      <c r="J583" t="s">
        <v>17</v>
      </c>
      <c r="K583" s="5">
        <v>0.15</v>
      </c>
      <c r="L583" t="s">
        <v>18</v>
      </c>
      <c r="M583" t="s">
        <v>22</v>
      </c>
      <c r="N583" t="s">
        <v>28</v>
      </c>
      <c r="O583" t="str">
        <f t="shared" si="27"/>
        <v>September</v>
      </c>
      <c r="P583">
        <f t="shared" si="28"/>
        <v>9</v>
      </c>
      <c r="Q583">
        <f t="shared" si="29"/>
        <v>2023</v>
      </c>
    </row>
    <row r="584" spans="1:17" x14ac:dyDescent="0.25">
      <c r="A584">
        <v>1075</v>
      </c>
      <c r="B584" s="1">
        <v>45162</v>
      </c>
      <c r="C584" t="s">
        <v>33</v>
      </c>
      <c r="D584" t="s">
        <v>21</v>
      </c>
      <c r="E584" s="4">
        <v>2301.38</v>
      </c>
      <c r="F584" s="2">
        <v>42</v>
      </c>
      <c r="G584" t="s">
        <v>29</v>
      </c>
      <c r="H584">
        <v>967.77</v>
      </c>
      <c r="I584">
        <v>1414.88</v>
      </c>
      <c r="J584" t="s">
        <v>30</v>
      </c>
      <c r="K584" s="5">
        <v>0.17</v>
      </c>
      <c r="L584" t="s">
        <v>27</v>
      </c>
      <c r="M584" t="s">
        <v>19</v>
      </c>
      <c r="N584" t="s">
        <v>37</v>
      </c>
      <c r="O584" t="str">
        <f t="shared" si="27"/>
        <v>August</v>
      </c>
      <c r="P584">
        <f t="shared" si="28"/>
        <v>8</v>
      </c>
      <c r="Q584">
        <f t="shared" si="29"/>
        <v>2023</v>
      </c>
    </row>
    <row r="585" spans="1:17" x14ac:dyDescent="0.25">
      <c r="A585">
        <v>1029</v>
      </c>
      <c r="B585" s="1">
        <v>45111</v>
      </c>
      <c r="C585" t="s">
        <v>33</v>
      </c>
      <c r="D585" t="s">
        <v>15</v>
      </c>
      <c r="E585" s="4">
        <v>5240.32</v>
      </c>
      <c r="F585" s="2">
        <v>31</v>
      </c>
      <c r="G585" t="s">
        <v>16</v>
      </c>
      <c r="H585">
        <v>951.21</v>
      </c>
      <c r="I585">
        <v>1320.32</v>
      </c>
      <c r="J585" t="s">
        <v>30</v>
      </c>
      <c r="K585" s="5">
        <v>0.15</v>
      </c>
      <c r="L585" t="s">
        <v>18</v>
      </c>
      <c r="M585" t="s">
        <v>19</v>
      </c>
      <c r="N585" t="s">
        <v>53</v>
      </c>
      <c r="O585" t="str">
        <f t="shared" si="27"/>
        <v>July</v>
      </c>
      <c r="P585">
        <f t="shared" si="28"/>
        <v>7</v>
      </c>
      <c r="Q585">
        <f t="shared" si="29"/>
        <v>2023</v>
      </c>
    </row>
    <row r="586" spans="1:17" x14ac:dyDescent="0.25">
      <c r="A586">
        <v>1036</v>
      </c>
      <c r="B586" s="1">
        <v>45198</v>
      </c>
      <c r="C586" t="s">
        <v>14</v>
      </c>
      <c r="D586" t="s">
        <v>15</v>
      </c>
      <c r="E586" s="4">
        <v>6116.75</v>
      </c>
      <c r="F586" s="2">
        <v>7</v>
      </c>
      <c r="G586" t="s">
        <v>29</v>
      </c>
      <c r="H586">
        <v>2588.67</v>
      </c>
      <c r="I586">
        <v>2847.76</v>
      </c>
      <c r="J586" t="s">
        <v>30</v>
      </c>
      <c r="K586" s="5">
        <v>0.22</v>
      </c>
      <c r="L586" t="s">
        <v>18</v>
      </c>
      <c r="M586" t="s">
        <v>22</v>
      </c>
      <c r="N586" t="s">
        <v>20</v>
      </c>
      <c r="O586" t="str">
        <f t="shared" si="27"/>
        <v>September</v>
      </c>
      <c r="P586">
        <f t="shared" si="28"/>
        <v>9</v>
      </c>
      <c r="Q586">
        <f t="shared" si="29"/>
        <v>2023</v>
      </c>
    </row>
    <row r="587" spans="1:17" x14ac:dyDescent="0.25">
      <c r="A587">
        <v>1089</v>
      </c>
      <c r="B587" s="1">
        <v>45162</v>
      </c>
      <c r="C587" t="s">
        <v>38</v>
      </c>
      <c r="D587" t="s">
        <v>15</v>
      </c>
      <c r="E587" s="4">
        <v>2528.9899999999998</v>
      </c>
      <c r="F587" s="2">
        <v>4</v>
      </c>
      <c r="G587" t="s">
        <v>16</v>
      </c>
      <c r="H587">
        <v>4231.75</v>
      </c>
      <c r="I587">
        <v>4727.75</v>
      </c>
      <c r="J587" t="s">
        <v>17</v>
      </c>
      <c r="K587" s="5">
        <v>0.12</v>
      </c>
      <c r="L587" t="s">
        <v>31</v>
      </c>
      <c r="M587" t="s">
        <v>22</v>
      </c>
      <c r="N587" t="s">
        <v>40</v>
      </c>
      <c r="O587" t="str">
        <f t="shared" si="27"/>
        <v>August</v>
      </c>
      <c r="P587">
        <f t="shared" si="28"/>
        <v>8</v>
      </c>
      <c r="Q587">
        <f t="shared" si="29"/>
        <v>2023</v>
      </c>
    </row>
    <row r="588" spans="1:17" x14ac:dyDescent="0.25">
      <c r="A588">
        <v>1021</v>
      </c>
      <c r="B588" s="1">
        <v>45165</v>
      </c>
      <c r="C588" t="s">
        <v>38</v>
      </c>
      <c r="D588" t="s">
        <v>15</v>
      </c>
      <c r="E588" s="4">
        <v>671.55</v>
      </c>
      <c r="F588" s="2">
        <v>19</v>
      </c>
      <c r="G588" t="s">
        <v>29</v>
      </c>
      <c r="H588">
        <v>444.05</v>
      </c>
      <c r="I588">
        <v>584.44000000000005</v>
      </c>
      <c r="J588" t="s">
        <v>17</v>
      </c>
      <c r="K588" s="5">
        <v>0.28000000000000003</v>
      </c>
      <c r="L588" t="s">
        <v>18</v>
      </c>
      <c r="M588" t="s">
        <v>22</v>
      </c>
      <c r="N588" t="s">
        <v>40</v>
      </c>
      <c r="O588" t="str">
        <f t="shared" si="27"/>
        <v>August</v>
      </c>
      <c r="P588">
        <f t="shared" si="28"/>
        <v>8</v>
      </c>
      <c r="Q588">
        <f t="shared" si="29"/>
        <v>2023</v>
      </c>
    </row>
    <row r="589" spans="1:17" x14ac:dyDescent="0.25">
      <c r="A589">
        <v>1036</v>
      </c>
      <c r="B589" s="1">
        <v>45192</v>
      </c>
      <c r="C589" t="s">
        <v>14</v>
      </c>
      <c r="D589" t="s">
        <v>15</v>
      </c>
      <c r="E589" s="4">
        <v>3971.23</v>
      </c>
      <c r="F589" s="2">
        <v>42</v>
      </c>
      <c r="G589" t="s">
        <v>16</v>
      </c>
      <c r="H589">
        <v>3549.43</v>
      </c>
      <c r="I589">
        <v>3967.6899999999901</v>
      </c>
      <c r="J589" t="s">
        <v>30</v>
      </c>
      <c r="K589" s="5">
        <v>0.14000000000000001</v>
      </c>
      <c r="L589" t="s">
        <v>27</v>
      </c>
      <c r="M589" t="s">
        <v>19</v>
      </c>
      <c r="N589" t="s">
        <v>20</v>
      </c>
      <c r="O589" t="str">
        <f t="shared" si="27"/>
        <v>September</v>
      </c>
      <c r="P589">
        <f t="shared" si="28"/>
        <v>9</v>
      </c>
      <c r="Q589">
        <f t="shared" si="29"/>
        <v>2023</v>
      </c>
    </row>
    <row r="590" spans="1:17" x14ac:dyDescent="0.25">
      <c r="A590">
        <v>1010</v>
      </c>
      <c r="B590" s="1">
        <v>45285</v>
      </c>
      <c r="C590" t="s">
        <v>24</v>
      </c>
      <c r="D590" t="s">
        <v>25</v>
      </c>
      <c r="E590" s="4">
        <v>2418.61</v>
      </c>
      <c r="F590" s="2">
        <v>30</v>
      </c>
      <c r="G590" t="s">
        <v>26</v>
      </c>
      <c r="H590">
        <v>3289.01</v>
      </c>
      <c r="I590">
        <v>3508.14</v>
      </c>
      <c r="J590" t="s">
        <v>30</v>
      </c>
      <c r="K590" s="5">
        <v>0.17</v>
      </c>
      <c r="L590" t="s">
        <v>27</v>
      </c>
      <c r="M590" t="s">
        <v>22</v>
      </c>
      <c r="N590" t="s">
        <v>28</v>
      </c>
      <c r="O590" t="str">
        <f t="shared" si="27"/>
        <v>December</v>
      </c>
      <c r="P590">
        <f t="shared" si="28"/>
        <v>12</v>
      </c>
      <c r="Q590">
        <f t="shared" si="29"/>
        <v>2023</v>
      </c>
    </row>
    <row r="591" spans="1:17" x14ac:dyDescent="0.25">
      <c r="A591">
        <v>1073</v>
      </c>
      <c r="B591" s="1">
        <v>45266</v>
      </c>
      <c r="C591" t="s">
        <v>42</v>
      </c>
      <c r="D591" t="s">
        <v>15</v>
      </c>
      <c r="E591" s="4">
        <v>2273.58</v>
      </c>
      <c r="F591" s="2">
        <v>31</v>
      </c>
      <c r="G591" t="s">
        <v>26</v>
      </c>
      <c r="H591">
        <v>4368.97</v>
      </c>
      <c r="I591">
        <v>4696.8500000000004</v>
      </c>
      <c r="J591" t="s">
        <v>17</v>
      </c>
      <c r="K591" s="5">
        <v>0.25</v>
      </c>
      <c r="L591" t="s">
        <v>27</v>
      </c>
      <c r="M591" t="s">
        <v>22</v>
      </c>
      <c r="N591" t="s">
        <v>49</v>
      </c>
      <c r="O591" t="str">
        <f t="shared" si="27"/>
        <v>December</v>
      </c>
      <c r="P591">
        <f t="shared" si="28"/>
        <v>12</v>
      </c>
      <c r="Q591">
        <f t="shared" si="29"/>
        <v>2023</v>
      </c>
    </row>
    <row r="592" spans="1:17" x14ac:dyDescent="0.25">
      <c r="A592">
        <v>1024</v>
      </c>
      <c r="B592" s="1">
        <v>44991</v>
      </c>
      <c r="C592" t="s">
        <v>42</v>
      </c>
      <c r="D592" t="s">
        <v>25</v>
      </c>
      <c r="E592" s="4">
        <v>9602.64</v>
      </c>
      <c r="F592" s="2">
        <v>35</v>
      </c>
      <c r="G592" t="s">
        <v>35</v>
      </c>
      <c r="H592">
        <v>1258.53</v>
      </c>
      <c r="I592">
        <v>1624.8899999999901</v>
      </c>
      <c r="J592" t="s">
        <v>30</v>
      </c>
      <c r="K592" s="5">
        <v>0.08</v>
      </c>
      <c r="L592" t="s">
        <v>31</v>
      </c>
      <c r="M592" t="s">
        <v>19</v>
      </c>
      <c r="N592" t="s">
        <v>43</v>
      </c>
      <c r="O592" t="str">
        <f t="shared" si="27"/>
        <v>March</v>
      </c>
      <c r="P592">
        <f t="shared" si="28"/>
        <v>3</v>
      </c>
      <c r="Q592">
        <f t="shared" si="29"/>
        <v>2023</v>
      </c>
    </row>
    <row r="593" spans="1:17" x14ac:dyDescent="0.25">
      <c r="A593">
        <v>1064</v>
      </c>
      <c r="B593" s="1">
        <v>45103</v>
      </c>
      <c r="C593" t="s">
        <v>42</v>
      </c>
      <c r="D593" t="s">
        <v>15</v>
      </c>
      <c r="E593" s="4">
        <v>6201.37</v>
      </c>
      <c r="F593" s="2">
        <v>21</v>
      </c>
      <c r="G593" t="s">
        <v>29</v>
      </c>
      <c r="H593">
        <v>2278.04</v>
      </c>
      <c r="I593">
        <v>2598.58</v>
      </c>
      <c r="J593" t="s">
        <v>17</v>
      </c>
      <c r="K593" s="5">
        <v>0.02</v>
      </c>
      <c r="L593" t="s">
        <v>31</v>
      </c>
      <c r="M593" t="s">
        <v>22</v>
      </c>
      <c r="N593" t="s">
        <v>49</v>
      </c>
      <c r="O593" t="str">
        <f t="shared" si="27"/>
        <v>June</v>
      </c>
      <c r="P593">
        <f t="shared" si="28"/>
        <v>6</v>
      </c>
      <c r="Q593">
        <f t="shared" si="29"/>
        <v>2023</v>
      </c>
    </row>
    <row r="594" spans="1:17" x14ac:dyDescent="0.25">
      <c r="A594">
        <v>1099</v>
      </c>
      <c r="B594" s="1">
        <v>44929</v>
      </c>
      <c r="C594" t="s">
        <v>14</v>
      </c>
      <c r="D594" t="s">
        <v>34</v>
      </c>
      <c r="E594" s="4">
        <v>5613.1</v>
      </c>
      <c r="F594" s="2">
        <v>31</v>
      </c>
      <c r="G594" t="s">
        <v>16</v>
      </c>
      <c r="H594">
        <v>4632.8500000000004</v>
      </c>
      <c r="I594">
        <v>4711.7</v>
      </c>
      <c r="J594" t="s">
        <v>30</v>
      </c>
      <c r="K594" s="5">
        <v>0.21</v>
      </c>
      <c r="L594" t="s">
        <v>18</v>
      </c>
      <c r="M594" t="s">
        <v>22</v>
      </c>
      <c r="N594" t="s">
        <v>46</v>
      </c>
      <c r="O594" t="str">
        <f t="shared" si="27"/>
        <v>January</v>
      </c>
      <c r="P594">
        <f t="shared" si="28"/>
        <v>1</v>
      </c>
      <c r="Q594">
        <f t="shared" si="29"/>
        <v>2023</v>
      </c>
    </row>
    <row r="595" spans="1:17" x14ac:dyDescent="0.25">
      <c r="A595">
        <v>1049</v>
      </c>
      <c r="B595" s="1">
        <v>45068</v>
      </c>
      <c r="C595" t="s">
        <v>14</v>
      </c>
      <c r="D595" t="s">
        <v>34</v>
      </c>
      <c r="E595" s="4">
        <v>4216.17</v>
      </c>
      <c r="F595" s="2">
        <v>19</v>
      </c>
      <c r="G595" t="s">
        <v>29</v>
      </c>
      <c r="H595">
        <v>3316.97</v>
      </c>
      <c r="I595">
        <v>3544.02</v>
      </c>
      <c r="J595" t="s">
        <v>17</v>
      </c>
      <c r="K595" s="5">
        <v>0.14000000000000001</v>
      </c>
      <c r="L595" t="s">
        <v>18</v>
      </c>
      <c r="M595" t="s">
        <v>19</v>
      </c>
      <c r="N595" t="s">
        <v>46</v>
      </c>
      <c r="O595" t="str">
        <f t="shared" si="27"/>
        <v>May</v>
      </c>
      <c r="P595">
        <f t="shared" si="28"/>
        <v>5</v>
      </c>
      <c r="Q595">
        <f t="shared" si="29"/>
        <v>2023</v>
      </c>
    </row>
    <row r="596" spans="1:17" x14ac:dyDescent="0.25">
      <c r="A596">
        <v>1099</v>
      </c>
      <c r="B596" s="1">
        <v>45084</v>
      </c>
      <c r="C596" t="s">
        <v>33</v>
      </c>
      <c r="D596" t="s">
        <v>34</v>
      </c>
      <c r="E596" s="4">
        <v>4346.55</v>
      </c>
      <c r="F596" s="2">
        <v>31</v>
      </c>
      <c r="G596" t="s">
        <v>26</v>
      </c>
      <c r="H596">
        <v>1974.4</v>
      </c>
      <c r="I596">
        <v>2259.5</v>
      </c>
      <c r="J596" t="s">
        <v>30</v>
      </c>
      <c r="K596" s="5">
        <v>0.27</v>
      </c>
      <c r="L596" t="s">
        <v>18</v>
      </c>
      <c r="M596" t="s">
        <v>22</v>
      </c>
      <c r="N596" t="s">
        <v>36</v>
      </c>
      <c r="O596" t="str">
        <f t="shared" si="27"/>
        <v>June</v>
      </c>
      <c r="P596">
        <f t="shared" si="28"/>
        <v>6</v>
      </c>
      <c r="Q596">
        <f t="shared" si="29"/>
        <v>2023</v>
      </c>
    </row>
    <row r="597" spans="1:17" x14ac:dyDescent="0.25">
      <c r="A597">
        <v>1036</v>
      </c>
      <c r="B597" s="1">
        <v>45250</v>
      </c>
      <c r="C597" t="s">
        <v>42</v>
      </c>
      <c r="D597" t="s">
        <v>34</v>
      </c>
      <c r="E597" s="4">
        <v>5454.96</v>
      </c>
      <c r="F597" s="2">
        <v>32</v>
      </c>
      <c r="G597" t="s">
        <v>29</v>
      </c>
      <c r="H597">
        <v>700.49</v>
      </c>
      <c r="I597">
        <v>1126.52</v>
      </c>
      <c r="J597" t="s">
        <v>30</v>
      </c>
      <c r="K597" s="5">
        <v>0.28999999999999998</v>
      </c>
      <c r="L597" t="s">
        <v>31</v>
      </c>
      <c r="M597" t="s">
        <v>22</v>
      </c>
      <c r="N597" t="s">
        <v>52</v>
      </c>
      <c r="O597" t="str">
        <f t="shared" si="27"/>
        <v>November</v>
      </c>
      <c r="P597">
        <f t="shared" si="28"/>
        <v>11</v>
      </c>
      <c r="Q597">
        <f t="shared" si="29"/>
        <v>2023</v>
      </c>
    </row>
    <row r="598" spans="1:17" x14ac:dyDescent="0.25">
      <c r="A598">
        <v>1082</v>
      </c>
      <c r="B598" s="1">
        <v>45072</v>
      </c>
      <c r="C598" t="s">
        <v>24</v>
      </c>
      <c r="D598" t="s">
        <v>25</v>
      </c>
      <c r="E598" s="4">
        <v>6994.66</v>
      </c>
      <c r="F598" s="2">
        <v>2</v>
      </c>
      <c r="G598" t="s">
        <v>16</v>
      </c>
      <c r="H598">
        <v>1349.3</v>
      </c>
      <c r="I598">
        <v>1576.69</v>
      </c>
      <c r="J598" t="s">
        <v>17</v>
      </c>
      <c r="K598" s="5">
        <v>0.12</v>
      </c>
      <c r="L598" t="s">
        <v>31</v>
      </c>
      <c r="M598" t="s">
        <v>19</v>
      </c>
      <c r="N598" t="s">
        <v>28</v>
      </c>
      <c r="O598" t="str">
        <f t="shared" si="27"/>
        <v>May</v>
      </c>
      <c r="P598">
        <f t="shared" si="28"/>
        <v>5</v>
      </c>
      <c r="Q598">
        <f t="shared" si="29"/>
        <v>2023</v>
      </c>
    </row>
    <row r="599" spans="1:17" x14ac:dyDescent="0.25">
      <c r="A599">
        <v>1096</v>
      </c>
      <c r="B599" s="1">
        <v>45219</v>
      </c>
      <c r="C599" t="s">
        <v>24</v>
      </c>
      <c r="D599" t="s">
        <v>25</v>
      </c>
      <c r="E599" s="4">
        <v>7051.25</v>
      </c>
      <c r="F599" s="2">
        <v>10</v>
      </c>
      <c r="G599" t="s">
        <v>29</v>
      </c>
      <c r="H599">
        <v>2927.02</v>
      </c>
      <c r="I599">
        <v>3387.21</v>
      </c>
      <c r="J599" t="s">
        <v>17</v>
      </c>
      <c r="K599" s="5">
        <v>0.12</v>
      </c>
      <c r="L599" t="s">
        <v>18</v>
      </c>
      <c r="M599" t="s">
        <v>22</v>
      </c>
      <c r="N599" t="s">
        <v>28</v>
      </c>
      <c r="O599" t="str">
        <f t="shared" si="27"/>
        <v>October</v>
      </c>
      <c r="P599">
        <f t="shared" si="28"/>
        <v>10</v>
      </c>
      <c r="Q599">
        <f t="shared" si="29"/>
        <v>2023</v>
      </c>
    </row>
    <row r="600" spans="1:17" x14ac:dyDescent="0.25">
      <c r="A600">
        <v>1024</v>
      </c>
      <c r="B600" s="1">
        <v>45079</v>
      </c>
      <c r="C600" t="s">
        <v>42</v>
      </c>
      <c r="D600" t="s">
        <v>21</v>
      </c>
      <c r="E600" s="4">
        <v>1799.77</v>
      </c>
      <c r="F600" s="2">
        <v>2</v>
      </c>
      <c r="G600" t="s">
        <v>16</v>
      </c>
      <c r="H600">
        <v>3604.93</v>
      </c>
      <c r="I600">
        <v>3830.71</v>
      </c>
      <c r="J600" t="s">
        <v>17</v>
      </c>
      <c r="K600" s="5">
        <v>0.12</v>
      </c>
      <c r="L600" t="s">
        <v>31</v>
      </c>
      <c r="M600" t="s">
        <v>19</v>
      </c>
      <c r="N600" t="s">
        <v>51</v>
      </c>
      <c r="O600" t="str">
        <f t="shared" si="27"/>
        <v>June</v>
      </c>
      <c r="P600">
        <f t="shared" si="28"/>
        <v>6</v>
      </c>
      <c r="Q600">
        <f t="shared" si="29"/>
        <v>2023</v>
      </c>
    </row>
    <row r="601" spans="1:17" x14ac:dyDescent="0.25">
      <c r="A601">
        <v>1023</v>
      </c>
      <c r="B601" s="1">
        <v>45119</v>
      </c>
      <c r="C601" t="s">
        <v>42</v>
      </c>
      <c r="D601" t="s">
        <v>15</v>
      </c>
      <c r="E601" s="4">
        <v>5051.12</v>
      </c>
      <c r="F601" s="2">
        <v>2</v>
      </c>
      <c r="G601" t="s">
        <v>26</v>
      </c>
      <c r="H601">
        <v>665.89</v>
      </c>
      <c r="I601">
        <v>944.79</v>
      </c>
      <c r="J601" t="s">
        <v>30</v>
      </c>
      <c r="K601" s="5">
        <v>0.1</v>
      </c>
      <c r="L601" t="s">
        <v>31</v>
      </c>
      <c r="M601" t="s">
        <v>22</v>
      </c>
      <c r="N601" t="s">
        <v>49</v>
      </c>
      <c r="O601" t="str">
        <f t="shared" si="27"/>
        <v>July</v>
      </c>
      <c r="P601">
        <f t="shared" si="28"/>
        <v>7</v>
      </c>
      <c r="Q601">
        <f t="shared" si="29"/>
        <v>2023</v>
      </c>
    </row>
    <row r="602" spans="1:17" x14ac:dyDescent="0.25">
      <c r="A602">
        <v>1062</v>
      </c>
      <c r="B602" s="1">
        <v>44999</v>
      </c>
      <c r="C602" t="s">
        <v>42</v>
      </c>
      <c r="D602" t="s">
        <v>34</v>
      </c>
      <c r="E602" s="4">
        <v>4178.3900000000003</v>
      </c>
      <c r="F602" s="2">
        <v>24</v>
      </c>
      <c r="G602" t="s">
        <v>26</v>
      </c>
      <c r="H602">
        <v>3018.01</v>
      </c>
      <c r="I602">
        <v>3418.19</v>
      </c>
      <c r="J602" t="s">
        <v>17</v>
      </c>
      <c r="K602" s="5">
        <v>0.23</v>
      </c>
      <c r="L602" t="s">
        <v>27</v>
      </c>
      <c r="M602" t="s">
        <v>22</v>
      </c>
      <c r="N602" t="s">
        <v>52</v>
      </c>
      <c r="O602" t="str">
        <f t="shared" si="27"/>
        <v>March</v>
      </c>
      <c r="P602">
        <f t="shared" si="28"/>
        <v>3</v>
      </c>
      <c r="Q602">
        <f t="shared" si="29"/>
        <v>2023</v>
      </c>
    </row>
    <row r="603" spans="1:17" x14ac:dyDescent="0.25">
      <c r="A603">
        <v>1096</v>
      </c>
      <c r="B603" s="1">
        <v>45231</v>
      </c>
      <c r="C603" t="s">
        <v>14</v>
      </c>
      <c r="D603" t="s">
        <v>25</v>
      </c>
      <c r="E603" s="4">
        <v>8718.2199999999993</v>
      </c>
      <c r="F603" s="2">
        <v>17</v>
      </c>
      <c r="G603" t="s">
        <v>26</v>
      </c>
      <c r="H603">
        <v>2774.24</v>
      </c>
      <c r="I603">
        <v>3069.9399999999901</v>
      </c>
      <c r="J603" t="s">
        <v>17</v>
      </c>
      <c r="K603" s="5">
        <v>0.23</v>
      </c>
      <c r="L603" t="s">
        <v>27</v>
      </c>
      <c r="M603" t="s">
        <v>22</v>
      </c>
      <c r="N603" t="s">
        <v>32</v>
      </c>
      <c r="O603" t="str">
        <f t="shared" si="27"/>
        <v>November</v>
      </c>
      <c r="P603">
        <f t="shared" si="28"/>
        <v>11</v>
      </c>
      <c r="Q603">
        <f t="shared" si="29"/>
        <v>2023</v>
      </c>
    </row>
    <row r="604" spans="1:17" x14ac:dyDescent="0.25">
      <c r="A604">
        <v>1037</v>
      </c>
      <c r="B604" s="1">
        <v>45270</v>
      </c>
      <c r="C604" t="s">
        <v>14</v>
      </c>
      <c r="D604" t="s">
        <v>15</v>
      </c>
      <c r="E604" s="4">
        <v>6351.05</v>
      </c>
      <c r="F604" s="2">
        <v>32</v>
      </c>
      <c r="G604" t="s">
        <v>35</v>
      </c>
      <c r="H604">
        <v>2594.08</v>
      </c>
      <c r="I604">
        <v>3074.59</v>
      </c>
      <c r="J604" t="s">
        <v>30</v>
      </c>
      <c r="K604" s="5">
        <v>0.14000000000000001</v>
      </c>
      <c r="L604" t="s">
        <v>18</v>
      </c>
      <c r="M604" t="s">
        <v>22</v>
      </c>
      <c r="N604" t="s">
        <v>20</v>
      </c>
      <c r="O604" t="str">
        <f t="shared" si="27"/>
        <v>December</v>
      </c>
      <c r="P604">
        <f t="shared" si="28"/>
        <v>12</v>
      </c>
      <c r="Q604">
        <f t="shared" si="29"/>
        <v>2023</v>
      </c>
    </row>
    <row r="605" spans="1:17" x14ac:dyDescent="0.25">
      <c r="A605">
        <v>1012</v>
      </c>
      <c r="B605" s="1">
        <v>45066</v>
      </c>
      <c r="C605" t="s">
        <v>14</v>
      </c>
      <c r="D605" t="s">
        <v>15</v>
      </c>
      <c r="E605" s="4">
        <v>5371.79</v>
      </c>
      <c r="F605" s="2">
        <v>16</v>
      </c>
      <c r="G605" t="s">
        <v>26</v>
      </c>
      <c r="H605">
        <v>3466.11</v>
      </c>
      <c r="I605">
        <v>3799.67</v>
      </c>
      <c r="J605" t="s">
        <v>17</v>
      </c>
      <c r="K605" s="5">
        <v>0.01</v>
      </c>
      <c r="L605" t="s">
        <v>18</v>
      </c>
      <c r="M605" t="s">
        <v>22</v>
      </c>
      <c r="N605" t="s">
        <v>20</v>
      </c>
      <c r="O605" t="str">
        <f t="shared" si="27"/>
        <v>May</v>
      </c>
      <c r="P605">
        <f t="shared" si="28"/>
        <v>5</v>
      </c>
      <c r="Q605">
        <f t="shared" si="29"/>
        <v>2023</v>
      </c>
    </row>
    <row r="606" spans="1:17" x14ac:dyDescent="0.25">
      <c r="A606">
        <v>1055</v>
      </c>
      <c r="B606" s="1">
        <v>45113</v>
      </c>
      <c r="C606" t="s">
        <v>38</v>
      </c>
      <c r="D606" t="s">
        <v>25</v>
      </c>
      <c r="E606" s="4">
        <v>1242.4100000000001</v>
      </c>
      <c r="F606" s="2">
        <v>16</v>
      </c>
      <c r="G606" t="s">
        <v>29</v>
      </c>
      <c r="H606">
        <v>4195.38</v>
      </c>
      <c r="I606">
        <v>4461.51</v>
      </c>
      <c r="J606" t="s">
        <v>17</v>
      </c>
      <c r="K606" s="5">
        <v>0.09</v>
      </c>
      <c r="L606" t="s">
        <v>27</v>
      </c>
      <c r="M606" t="s">
        <v>19</v>
      </c>
      <c r="N606" t="s">
        <v>39</v>
      </c>
      <c r="O606" t="str">
        <f t="shared" si="27"/>
        <v>July</v>
      </c>
      <c r="P606">
        <f t="shared" si="28"/>
        <v>7</v>
      </c>
      <c r="Q606">
        <f t="shared" si="29"/>
        <v>2023</v>
      </c>
    </row>
    <row r="607" spans="1:17" x14ac:dyDescent="0.25">
      <c r="A607">
        <v>1013</v>
      </c>
      <c r="B607" s="1">
        <v>45219</v>
      </c>
      <c r="C607" t="s">
        <v>24</v>
      </c>
      <c r="D607" t="s">
        <v>34</v>
      </c>
      <c r="E607" s="4">
        <v>6095.82</v>
      </c>
      <c r="F607" s="2">
        <v>46</v>
      </c>
      <c r="G607" t="s">
        <v>35</v>
      </c>
      <c r="H607">
        <v>1648.8</v>
      </c>
      <c r="I607">
        <v>1670.36</v>
      </c>
      <c r="J607" t="s">
        <v>17</v>
      </c>
      <c r="K607" s="5">
        <v>0.09</v>
      </c>
      <c r="L607" t="s">
        <v>31</v>
      </c>
      <c r="M607" t="s">
        <v>22</v>
      </c>
      <c r="N607" t="s">
        <v>50</v>
      </c>
      <c r="O607" t="str">
        <f t="shared" si="27"/>
        <v>October</v>
      </c>
      <c r="P607">
        <f t="shared" si="28"/>
        <v>10</v>
      </c>
      <c r="Q607">
        <f t="shared" si="29"/>
        <v>2023</v>
      </c>
    </row>
    <row r="608" spans="1:17" x14ac:dyDescent="0.25">
      <c r="A608">
        <v>1023</v>
      </c>
      <c r="B608" s="1">
        <v>44987</v>
      </c>
      <c r="C608" t="s">
        <v>24</v>
      </c>
      <c r="D608" t="s">
        <v>21</v>
      </c>
      <c r="E608" s="4">
        <v>1260.32</v>
      </c>
      <c r="F608" s="2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 s="5">
        <v>0.24</v>
      </c>
      <c r="L608" t="s">
        <v>18</v>
      </c>
      <c r="M608" t="s">
        <v>22</v>
      </c>
      <c r="N608" t="s">
        <v>47</v>
      </c>
      <c r="O608" t="str">
        <f t="shared" si="27"/>
        <v>March</v>
      </c>
      <c r="P608">
        <f t="shared" si="28"/>
        <v>3</v>
      </c>
      <c r="Q608">
        <f t="shared" si="29"/>
        <v>2023</v>
      </c>
    </row>
    <row r="609" spans="1:17" x14ac:dyDescent="0.25">
      <c r="A609">
        <v>1089</v>
      </c>
      <c r="B609" s="1">
        <v>45124</v>
      </c>
      <c r="C609" t="s">
        <v>33</v>
      </c>
      <c r="D609" t="s">
        <v>15</v>
      </c>
      <c r="E609" s="4">
        <v>3438.35</v>
      </c>
      <c r="F609" s="2">
        <v>31</v>
      </c>
      <c r="G609" t="s">
        <v>29</v>
      </c>
      <c r="H609">
        <v>845.14</v>
      </c>
      <c r="I609">
        <v>1001.77</v>
      </c>
      <c r="J609" t="s">
        <v>30</v>
      </c>
      <c r="K609" s="5">
        <v>0.03</v>
      </c>
      <c r="L609" t="s">
        <v>18</v>
      </c>
      <c r="M609" t="s">
        <v>19</v>
      </c>
      <c r="N609" t="s">
        <v>53</v>
      </c>
      <c r="O609" t="str">
        <f t="shared" si="27"/>
        <v>July</v>
      </c>
      <c r="P609">
        <f t="shared" si="28"/>
        <v>7</v>
      </c>
      <c r="Q609">
        <f t="shared" si="29"/>
        <v>2023</v>
      </c>
    </row>
    <row r="610" spans="1:17" x14ac:dyDescent="0.25">
      <c r="A610">
        <v>1099</v>
      </c>
      <c r="B610" s="1">
        <v>45221</v>
      </c>
      <c r="C610" t="s">
        <v>14</v>
      </c>
      <c r="D610" t="s">
        <v>21</v>
      </c>
      <c r="E610" s="4">
        <v>1514.14</v>
      </c>
      <c r="F610" s="2">
        <v>43</v>
      </c>
      <c r="G610" t="s">
        <v>29</v>
      </c>
      <c r="H610">
        <v>906.47</v>
      </c>
      <c r="I610">
        <v>1283.04</v>
      </c>
      <c r="J610" t="s">
        <v>30</v>
      </c>
      <c r="K610" s="5">
        <v>0.24</v>
      </c>
      <c r="L610" t="s">
        <v>18</v>
      </c>
      <c r="M610" t="s">
        <v>19</v>
      </c>
      <c r="N610" t="s">
        <v>23</v>
      </c>
      <c r="O610" t="str">
        <f t="shared" si="27"/>
        <v>October</v>
      </c>
      <c r="P610">
        <f t="shared" si="28"/>
        <v>10</v>
      </c>
      <c r="Q610">
        <f t="shared" si="29"/>
        <v>2023</v>
      </c>
    </row>
    <row r="611" spans="1:17" x14ac:dyDescent="0.25">
      <c r="A611">
        <v>1030</v>
      </c>
      <c r="B611" s="1">
        <v>45245</v>
      </c>
      <c r="C611" t="s">
        <v>38</v>
      </c>
      <c r="D611" t="s">
        <v>34</v>
      </c>
      <c r="E611" s="4">
        <v>6951.53</v>
      </c>
      <c r="F611" s="2">
        <v>24</v>
      </c>
      <c r="G611" t="s">
        <v>29</v>
      </c>
      <c r="H611">
        <v>1370.52</v>
      </c>
      <c r="I611">
        <v>1482.58</v>
      </c>
      <c r="J611" t="s">
        <v>17</v>
      </c>
      <c r="K611" s="5">
        <v>0.2</v>
      </c>
      <c r="L611" t="s">
        <v>31</v>
      </c>
      <c r="M611" t="s">
        <v>22</v>
      </c>
      <c r="N611" t="s">
        <v>48</v>
      </c>
      <c r="O611" t="str">
        <f t="shared" si="27"/>
        <v>November</v>
      </c>
      <c r="P611">
        <f t="shared" si="28"/>
        <v>11</v>
      </c>
      <c r="Q611">
        <f t="shared" si="29"/>
        <v>2023</v>
      </c>
    </row>
    <row r="612" spans="1:17" x14ac:dyDescent="0.25">
      <c r="A612">
        <v>1017</v>
      </c>
      <c r="B612" s="1">
        <v>45228</v>
      </c>
      <c r="C612" t="s">
        <v>38</v>
      </c>
      <c r="D612" t="s">
        <v>34</v>
      </c>
      <c r="E612" s="4">
        <v>2141.9</v>
      </c>
      <c r="F612" s="2">
        <v>1</v>
      </c>
      <c r="G612" t="s">
        <v>16</v>
      </c>
      <c r="H612">
        <v>641.67999999999995</v>
      </c>
      <c r="I612">
        <v>752.24</v>
      </c>
      <c r="J612" t="s">
        <v>30</v>
      </c>
      <c r="K612" s="5">
        <v>0.22</v>
      </c>
      <c r="L612" t="s">
        <v>27</v>
      </c>
      <c r="M612" t="s">
        <v>19</v>
      </c>
      <c r="N612" t="s">
        <v>48</v>
      </c>
      <c r="O612" t="str">
        <f t="shared" si="27"/>
        <v>October</v>
      </c>
      <c r="P612">
        <f t="shared" si="28"/>
        <v>10</v>
      </c>
      <c r="Q612">
        <f t="shared" si="29"/>
        <v>2023</v>
      </c>
    </row>
    <row r="613" spans="1:17" x14ac:dyDescent="0.25">
      <c r="A613">
        <v>1062</v>
      </c>
      <c r="B613" s="1">
        <v>45270</v>
      </c>
      <c r="C613" t="s">
        <v>24</v>
      </c>
      <c r="D613" t="s">
        <v>21</v>
      </c>
      <c r="E613" s="4">
        <v>3979.41</v>
      </c>
      <c r="F613" s="2">
        <v>11</v>
      </c>
      <c r="G613" t="s">
        <v>35</v>
      </c>
      <c r="H613">
        <v>1190.08</v>
      </c>
      <c r="I613">
        <v>1292.9399999999901</v>
      </c>
      <c r="J613" t="s">
        <v>17</v>
      </c>
      <c r="K613" s="5">
        <v>0.13</v>
      </c>
      <c r="L613" t="s">
        <v>18</v>
      </c>
      <c r="M613" t="s">
        <v>22</v>
      </c>
      <c r="N613" t="s">
        <v>47</v>
      </c>
      <c r="O613" t="str">
        <f t="shared" si="27"/>
        <v>December</v>
      </c>
      <c r="P613">
        <f t="shared" si="28"/>
        <v>12</v>
      </c>
      <c r="Q613">
        <f t="shared" si="29"/>
        <v>2023</v>
      </c>
    </row>
    <row r="614" spans="1:17" x14ac:dyDescent="0.25">
      <c r="A614">
        <v>1084</v>
      </c>
      <c r="B614" s="1">
        <v>44937</v>
      </c>
      <c r="C614" t="s">
        <v>14</v>
      </c>
      <c r="D614" t="s">
        <v>34</v>
      </c>
      <c r="E614" s="4">
        <v>8967.18</v>
      </c>
      <c r="F614" s="2">
        <v>21</v>
      </c>
      <c r="G614" t="s">
        <v>29</v>
      </c>
      <c r="H614">
        <v>576.74</v>
      </c>
      <c r="I614">
        <v>648.29</v>
      </c>
      <c r="J614" t="s">
        <v>17</v>
      </c>
      <c r="K614" s="5">
        <v>0.2</v>
      </c>
      <c r="L614" t="s">
        <v>27</v>
      </c>
      <c r="M614" t="s">
        <v>19</v>
      </c>
      <c r="N614" t="s">
        <v>46</v>
      </c>
      <c r="O614" t="str">
        <f t="shared" si="27"/>
        <v>January</v>
      </c>
      <c r="P614">
        <f t="shared" si="28"/>
        <v>1</v>
      </c>
      <c r="Q614">
        <f t="shared" si="29"/>
        <v>2023</v>
      </c>
    </row>
    <row r="615" spans="1:17" x14ac:dyDescent="0.25">
      <c r="A615">
        <v>1089</v>
      </c>
      <c r="B615" s="1">
        <v>44988</v>
      </c>
      <c r="C615" t="s">
        <v>33</v>
      </c>
      <c r="D615" t="s">
        <v>15</v>
      </c>
      <c r="E615" s="4">
        <v>2122.73</v>
      </c>
      <c r="F615" s="2">
        <v>4</v>
      </c>
      <c r="G615" t="s">
        <v>16</v>
      </c>
      <c r="H615">
        <v>4117.67</v>
      </c>
      <c r="I615">
        <v>4280.0600000000004</v>
      </c>
      <c r="J615" t="s">
        <v>17</v>
      </c>
      <c r="K615" s="5">
        <v>0.18</v>
      </c>
      <c r="L615" t="s">
        <v>27</v>
      </c>
      <c r="M615" t="s">
        <v>19</v>
      </c>
      <c r="N615" t="s">
        <v>53</v>
      </c>
      <c r="O615" t="str">
        <f t="shared" si="27"/>
        <v>March</v>
      </c>
      <c r="P615">
        <f t="shared" si="28"/>
        <v>3</v>
      </c>
      <c r="Q615">
        <f t="shared" si="29"/>
        <v>2023</v>
      </c>
    </row>
    <row r="616" spans="1:17" x14ac:dyDescent="0.25">
      <c r="A616">
        <v>1086</v>
      </c>
      <c r="B616" s="1">
        <v>45259</v>
      </c>
      <c r="C616" t="s">
        <v>14</v>
      </c>
      <c r="D616" t="s">
        <v>21</v>
      </c>
      <c r="E616" s="4">
        <v>5127.2700000000004</v>
      </c>
      <c r="F616" s="2">
        <v>7</v>
      </c>
      <c r="G616" t="s">
        <v>26</v>
      </c>
      <c r="H616">
        <v>737.9</v>
      </c>
      <c r="I616">
        <v>1182</v>
      </c>
      <c r="J616" t="s">
        <v>30</v>
      </c>
      <c r="K616" s="5">
        <v>0.23</v>
      </c>
      <c r="L616" t="s">
        <v>31</v>
      </c>
      <c r="M616" t="s">
        <v>22</v>
      </c>
      <c r="N616" t="s">
        <v>23</v>
      </c>
      <c r="O616" t="str">
        <f t="shared" si="27"/>
        <v>November</v>
      </c>
      <c r="P616">
        <f t="shared" si="28"/>
        <v>11</v>
      </c>
      <c r="Q616">
        <f t="shared" si="29"/>
        <v>2023</v>
      </c>
    </row>
    <row r="617" spans="1:17" x14ac:dyDescent="0.25">
      <c r="A617">
        <v>1013</v>
      </c>
      <c r="B617" s="1">
        <v>45152</v>
      </c>
      <c r="C617" t="s">
        <v>42</v>
      </c>
      <c r="D617" t="s">
        <v>34</v>
      </c>
      <c r="E617" s="4">
        <v>4250.79</v>
      </c>
      <c r="F617" s="2">
        <v>26</v>
      </c>
      <c r="G617" t="s">
        <v>29</v>
      </c>
      <c r="H617">
        <v>3749.12</v>
      </c>
      <c r="I617">
        <v>4138.83</v>
      </c>
      <c r="J617" t="s">
        <v>30</v>
      </c>
      <c r="K617" s="5">
        <v>0.13</v>
      </c>
      <c r="L617" t="s">
        <v>31</v>
      </c>
      <c r="M617" t="s">
        <v>19</v>
      </c>
      <c r="N617" t="s">
        <v>52</v>
      </c>
      <c r="O617" t="str">
        <f t="shared" si="27"/>
        <v>August</v>
      </c>
      <c r="P617">
        <f t="shared" si="28"/>
        <v>8</v>
      </c>
      <c r="Q617">
        <f t="shared" si="29"/>
        <v>2023</v>
      </c>
    </row>
    <row r="618" spans="1:17" x14ac:dyDescent="0.25">
      <c r="A618">
        <v>1059</v>
      </c>
      <c r="B618" s="1">
        <v>45079</v>
      </c>
      <c r="C618" t="s">
        <v>14</v>
      </c>
      <c r="D618" t="s">
        <v>21</v>
      </c>
      <c r="E618" s="4">
        <v>279.43</v>
      </c>
      <c r="F618" s="2">
        <v>47</v>
      </c>
      <c r="G618" t="s">
        <v>16</v>
      </c>
      <c r="H618">
        <v>287.17</v>
      </c>
      <c r="I618">
        <v>657.44</v>
      </c>
      <c r="J618" t="s">
        <v>17</v>
      </c>
      <c r="K618" s="5">
        <v>0.14000000000000001</v>
      </c>
      <c r="L618" t="s">
        <v>31</v>
      </c>
      <c r="M618" t="s">
        <v>22</v>
      </c>
      <c r="N618" t="s">
        <v>23</v>
      </c>
      <c r="O618" t="str">
        <f t="shared" si="27"/>
        <v>June</v>
      </c>
      <c r="P618">
        <f t="shared" si="28"/>
        <v>6</v>
      </c>
      <c r="Q618">
        <f t="shared" si="29"/>
        <v>2023</v>
      </c>
    </row>
    <row r="619" spans="1:17" x14ac:dyDescent="0.25">
      <c r="A619">
        <v>1019</v>
      </c>
      <c r="B619" s="1">
        <v>45125</v>
      </c>
      <c r="C619" t="s">
        <v>42</v>
      </c>
      <c r="D619" t="s">
        <v>15</v>
      </c>
      <c r="E619" s="4">
        <v>7948.31</v>
      </c>
      <c r="F619" s="2">
        <v>12</v>
      </c>
      <c r="G619" t="s">
        <v>29</v>
      </c>
      <c r="H619">
        <v>4745.18</v>
      </c>
      <c r="I619">
        <v>5145.88</v>
      </c>
      <c r="J619" t="s">
        <v>17</v>
      </c>
      <c r="K619" s="5">
        <v>0.19</v>
      </c>
      <c r="L619" t="s">
        <v>31</v>
      </c>
      <c r="M619" t="s">
        <v>19</v>
      </c>
      <c r="N619" t="s">
        <v>49</v>
      </c>
      <c r="O619" t="str">
        <f t="shared" si="27"/>
        <v>July</v>
      </c>
      <c r="P619">
        <f t="shared" si="28"/>
        <v>7</v>
      </c>
      <c r="Q619">
        <f t="shared" si="29"/>
        <v>2023</v>
      </c>
    </row>
    <row r="620" spans="1:17" x14ac:dyDescent="0.25">
      <c r="A620">
        <v>1049</v>
      </c>
      <c r="B620" s="1">
        <v>44978</v>
      </c>
      <c r="C620" t="s">
        <v>42</v>
      </c>
      <c r="D620" t="s">
        <v>34</v>
      </c>
      <c r="E620" s="4">
        <v>783.55</v>
      </c>
      <c r="F620" s="2">
        <v>31</v>
      </c>
      <c r="G620" t="s">
        <v>35</v>
      </c>
      <c r="H620">
        <v>3570.24</v>
      </c>
      <c r="I620">
        <v>3712.25</v>
      </c>
      <c r="J620" t="s">
        <v>30</v>
      </c>
      <c r="K620" s="5">
        <v>0.03</v>
      </c>
      <c r="L620" t="s">
        <v>31</v>
      </c>
      <c r="M620" t="s">
        <v>19</v>
      </c>
      <c r="N620" t="s">
        <v>52</v>
      </c>
      <c r="O620" t="str">
        <f t="shared" si="27"/>
        <v>February</v>
      </c>
      <c r="P620">
        <f t="shared" si="28"/>
        <v>2</v>
      </c>
      <c r="Q620">
        <f t="shared" si="29"/>
        <v>2023</v>
      </c>
    </row>
    <row r="621" spans="1:17" x14ac:dyDescent="0.25">
      <c r="A621">
        <v>1100</v>
      </c>
      <c r="B621" s="1">
        <v>45186</v>
      </c>
      <c r="C621" t="s">
        <v>33</v>
      </c>
      <c r="D621" t="s">
        <v>15</v>
      </c>
      <c r="E621" s="4">
        <v>4795.12</v>
      </c>
      <c r="F621" s="2">
        <v>17</v>
      </c>
      <c r="G621" t="s">
        <v>35</v>
      </c>
      <c r="H621">
        <v>83.64</v>
      </c>
      <c r="I621">
        <v>528.49</v>
      </c>
      <c r="J621" t="s">
        <v>30</v>
      </c>
      <c r="K621" s="5">
        <v>0.13</v>
      </c>
      <c r="L621" t="s">
        <v>31</v>
      </c>
      <c r="M621" t="s">
        <v>19</v>
      </c>
      <c r="N621" t="s">
        <v>53</v>
      </c>
      <c r="O621" t="str">
        <f t="shared" si="27"/>
        <v>September</v>
      </c>
      <c r="P621">
        <f t="shared" si="28"/>
        <v>9</v>
      </c>
      <c r="Q621">
        <f t="shared" si="29"/>
        <v>2023</v>
      </c>
    </row>
    <row r="622" spans="1:17" x14ac:dyDescent="0.25">
      <c r="A622">
        <v>1012</v>
      </c>
      <c r="B622" s="1">
        <v>44985</v>
      </c>
      <c r="C622" t="s">
        <v>24</v>
      </c>
      <c r="D622" t="s">
        <v>34</v>
      </c>
      <c r="E622" s="4">
        <v>5650.72</v>
      </c>
      <c r="F622" s="2">
        <v>33</v>
      </c>
      <c r="G622" t="s">
        <v>26</v>
      </c>
      <c r="H622">
        <v>3831.09</v>
      </c>
      <c r="I622">
        <v>3908.37</v>
      </c>
      <c r="J622" t="s">
        <v>30</v>
      </c>
      <c r="K622" s="5">
        <v>0.28999999999999998</v>
      </c>
      <c r="L622" t="s">
        <v>18</v>
      </c>
      <c r="M622" t="s">
        <v>22</v>
      </c>
      <c r="N622" t="s">
        <v>50</v>
      </c>
      <c r="O622" t="str">
        <f t="shared" si="27"/>
        <v>February</v>
      </c>
      <c r="P622">
        <f t="shared" si="28"/>
        <v>2</v>
      </c>
      <c r="Q622">
        <f t="shared" si="29"/>
        <v>2023</v>
      </c>
    </row>
    <row r="623" spans="1:17" x14ac:dyDescent="0.25">
      <c r="A623">
        <v>1061</v>
      </c>
      <c r="B623" s="1">
        <v>44998</v>
      </c>
      <c r="C623" t="s">
        <v>14</v>
      </c>
      <c r="D623" t="s">
        <v>25</v>
      </c>
      <c r="E623" s="4">
        <v>6321.42</v>
      </c>
      <c r="F623" s="2">
        <v>11</v>
      </c>
      <c r="G623" t="s">
        <v>29</v>
      </c>
      <c r="H623">
        <v>2594.71</v>
      </c>
      <c r="I623">
        <v>2769.52</v>
      </c>
      <c r="J623" t="s">
        <v>17</v>
      </c>
      <c r="K623" s="5">
        <v>0.01</v>
      </c>
      <c r="L623" t="s">
        <v>27</v>
      </c>
      <c r="M623" t="s">
        <v>22</v>
      </c>
      <c r="N623" t="s">
        <v>32</v>
      </c>
      <c r="O623" t="str">
        <f t="shared" si="27"/>
        <v>March</v>
      </c>
      <c r="P623">
        <f t="shared" si="28"/>
        <v>3</v>
      </c>
      <c r="Q623">
        <f t="shared" si="29"/>
        <v>2023</v>
      </c>
    </row>
    <row r="624" spans="1:17" x14ac:dyDescent="0.25">
      <c r="A624">
        <v>1019</v>
      </c>
      <c r="B624" s="1">
        <v>45074</v>
      </c>
      <c r="C624" t="s">
        <v>42</v>
      </c>
      <c r="D624" t="s">
        <v>34</v>
      </c>
      <c r="E624" s="4">
        <v>6917.45</v>
      </c>
      <c r="F624" s="2">
        <v>28</v>
      </c>
      <c r="G624" t="s">
        <v>16</v>
      </c>
      <c r="H624">
        <v>3907.86</v>
      </c>
      <c r="I624">
        <v>4205.37</v>
      </c>
      <c r="J624" t="s">
        <v>30</v>
      </c>
      <c r="K624" s="5">
        <v>0.09</v>
      </c>
      <c r="L624" t="s">
        <v>31</v>
      </c>
      <c r="M624" t="s">
        <v>19</v>
      </c>
      <c r="N624" t="s">
        <v>52</v>
      </c>
      <c r="O624" t="str">
        <f t="shared" si="27"/>
        <v>May</v>
      </c>
      <c r="P624">
        <f t="shared" si="28"/>
        <v>5</v>
      </c>
      <c r="Q624">
        <f t="shared" si="29"/>
        <v>2023</v>
      </c>
    </row>
    <row r="625" spans="1:17" x14ac:dyDescent="0.25">
      <c r="A625">
        <v>1076</v>
      </c>
      <c r="B625" s="1">
        <v>45275</v>
      </c>
      <c r="C625" t="s">
        <v>14</v>
      </c>
      <c r="D625" t="s">
        <v>21</v>
      </c>
      <c r="E625" s="4">
        <v>2607.4</v>
      </c>
      <c r="F625" s="2">
        <v>32</v>
      </c>
      <c r="G625" t="s">
        <v>26</v>
      </c>
      <c r="H625">
        <v>2636.36</v>
      </c>
      <c r="I625">
        <v>2696.78</v>
      </c>
      <c r="J625" t="s">
        <v>30</v>
      </c>
      <c r="K625" s="5">
        <v>0.09</v>
      </c>
      <c r="L625" t="s">
        <v>18</v>
      </c>
      <c r="M625" t="s">
        <v>22</v>
      </c>
      <c r="N625" t="s">
        <v>23</v>
      </c>
      <c r="O625" t="str">
        <f t="shared" si="27"/>
        <v>December</v>
      </c>
      <c r="P625">
        <f t="shared" si="28"/>
        <v>12</v>
      </c>
      <c r="Q625">
        <f t="shared" si="29"/>
        <v>2023</v>
      </c>
    </row>
    <row r="626" spans="1:17" x14ac:dyDescent="0.25">
      <c r="A626">
        <v>1009</v>
      </c>
      <c r="B626" s="1">
        <v>44989</v>
      </c>
      <c r="C626" t="s">
        <v>24</v>
      </c>
      <c r="D626" t="s">
        <v>34</v>
      </c>
      <c r="E626" s="4">
        <v>198.79</v>
      </c>
      <c r="F626" s="2">
        <v>1</v>
      </c>
      <c r="G626" t="s">
        <v>29</v>
      </c>
      <c r="H626">
        <v>3223.07</v>
      </c>
      <c r="I626">
        <v>3590.83</v>
      </c>
      <c r="J626" t="s">
        <v>30</v>
      </c>
      <c r="K626" s="5">
        <v>0.19</v>
      </c>
      <c r="L626" t="s">
        <v>27</v>
      </c>
      <c r="M626" t="s">
        <v>22</v>
      </c>
      <c r="N626" t="s">
        <v>50</v>
      </c>
      <c r="O626" t="str">
        <f t="shared" si="27"/>
        <v>March</v>
      </c>
      <c r="P626">
        <f t="shared" si="28"/>
        <v>3</v>
      </c>
      <c r="Q626">
        <f t="shared" si="29"/>
        <v>2023</v>
      </c>
    </row>
    <row r="627" spans="1:17" x14ac:dyDescent="0.25">
      <c r="A627">
        <v>1071</v>
      </c>
      <c r="B627" s="1">
        <v>45236</v>
      </c>
      <c r="C627" t="s">
        <v>24</v>
      </c>
      <c r="D627" t="s">
        <v>15</v>
      </c>
      <c r="E627" s="4">
        <v>7262.09</v>
      </c>
      <c r="F627" s="2">
        <v>47</v>
      </c>
      <c r="G627" t="s">
        <v>26</v>
      </c>
      <c r="H627">
        <v>3942.34</v>
      </c>
      <c r="I627">
        <v>4142.09</v>
      </c>
      <c r="J627" t="s">
        <v>17</v>
      </c>
      <c r="K627" s="5">
        <v>0.03</v>
      </c>
      <c r="L627" t="s">
        <v>31</v>
      </c>
      <c r="M627" t="s">
        <v>22</v>
      </c>
      <c r="N627" t="s">
        <v>45</v>
      </c>
      <c r="O627" t="str">
        <f t="shared" si="27"/>
        <v>November</v>
      </c>
      <c r="P627">
        <f t="shared" si="28"/>
        <v>11</v>
      </c>
      <c r="Q627">
        <f t="shared" si="29"/>
        <v>2023</v>
      </c>
    </row>
    <row r="628" spans="1:17" x14ac:dyDescent="0.25">
      <c r="A628">
        <v>1028</v>
      </c>
      <c r="B628" s="1">
        <v>45169</v>
      </c>
      <c r="C628" t="s">
        <v>38</v>
      </c>
      <c r="D628" t="s">
        <v>15</v>
      </c>
      <c r="E628" s="4">
        <v>5403</v>
      </c>
      <c r="F628" s="2">
        <v>28</v>
      </c>
      <c r="G628" t="s">
        <v>16</v>
      </c>
      <c r="H628">
        <v>2055.2800000000002</v>
      </c>
      <c r="I628">
        <v>2449.64</v>
      </c>
      <c r="J628" t="s">
        <v>30</v>
      </c>
      <c r="K628" s="5">
        <v>0.19</v>
      </c>
      <c r="L628" t="s">
        <v>31</v>
      </c>
      <c r="M628" t="s">
        <v>19</v>
      </c>
      <c r="N628" t="s">
        <v>40</v>
      </c>
      <c r="O628" t="str">
        <f t="shared" si="27"/>
        <v>August</v>
      </c>
      <c r="P628">
        <f t="shared" si="28"/>
        <v>8</v>
      </c>
      <c r="Q628">
        <f t="shared" si="29"/>
        <v>2023</v>
      </c>
    </row>
    <row r="629" spans="1:17" x14ac:dyDescent="0.25">
      <c r="A629">
        <v>1078</v>
      </c>
      <c r="B629" s="1">
        <v>45292</v>
      </c>
      <c r="C629" t="s">
        <v>24</v>
      </c>
      <c r="D629" t="s">
        <v>34</v>
      </c>
      <c r="E629" s="4">
        <v>8377.57</v>
      </c>
      <c r="F629" s="2">
        <v>42</v>
      </c>
      <c r="G629" t="s">
        <v>26</v>
      </c>
      <c r="H629">
        <v>63.41</v>
      </c>
      <c r="I629">
        <v>314.93</v>
      </c>
      <c r="J629" t="s">
        <v>17</v>
      </c>
      <c r="K629" s="5">
        <v>0.03</v>
      </c>
      <c r="L629" t="s">
        <v>18</v>
      </c>
      <c r="M629" t="s">
        <v>22</v>
      </c>
      <c r="N629" t="s">
        <v>50</v>
      </c>
      <c r="O629" t="str">
        <f t="shared" si="27"/>
        <v>January</v>
      </c>
      <c r="P629">
        <f t="shared" si="28"/>
        <v>1</v>
      </c>
      <c r="Q629">
        <f t="shared" si="29"/>
        <v>2024</v>
      </c>
    </row>
    <row r="630" spans="1:17" x14ac:dyDescent="0.25">
      <c r="A630">
        <v>1095</v>
      </c>
      <c r="B630" s="1">
        <v>45256</v>
      </c>
      <c r="C630" t="s">
        <v>33</v>
      </c>
      <c r="D630" t="s">
        <v>21</v>
      </c>
      <c r="E630" s="4">
        <v>8231.74</v>
      </c>
      <c r="F630" s="2">
        <v>7</v>
      </c>
      <c r="G630" t="s">
        <v>26</v>
      </c>
      <c r="H630">
        <v>4257.24</v>
      </c>
      <c r="I630">
        <v>4355.87</v>
      </c>
      <c r="J630" t="s">
        <v>17</v>
      </c>
      <c r="K630" s="5">
        <v>0.03</v>
      </c>
      <c r="L630" t="s">
        <v>27</v>
      </c>
      <c r="M630" t="s">
        <v>19</v>
      </c>
      <c r="N630" t="s">
        <v>37</v>
      </c>
      <c r="O630" t="str">
        <f t="shared" si="27"/>
        <v>November</v>
      </c>
      <c r="P630">
        <f t="shared" si="28"/>
        <v>11</v>
      </c>
      <c r="Q630">
        <f t="shared" si="29"/>
        <v>2023</v>
      </c>
    </row>
    <row r="631" spans="1:17" x14ac:dyDescent="0.25">
      <c r="A631">
        <v>1052</v>
      </c>
      <c r="B631" s="1">
        <v>45033</v>
      </c>
      <c r="C631" t="s">
        <v>42</v>
      </c>
      <c r="D631" t="s">
        <v>25</v>
      </c>
      <c r="E631" s="4">
        <v>8448.93</v>
      </c>
      <c r="F631" s="2">
        <v>2</v>
      </c>
      <c r="G631" t="s">
        <v>26</v>
      </c>
      <c r="H631">
        <v>1935.41</v>
      </c>
      <c r="I631">
        <v>2305.44</v>
      </c>
      <c r="J631" t="s">
        <v>17</v>
      </c>
      <c r="K631" s="5">
        <v>0.22</v>
      </c>
      <c r="L631" t="s">
        <v>31</v>
      </c>
      <c r="M631" t="s">
        <v>19</v>
      </c>
      <c r="N631" t="s">
        <v>43</v>
      </c>
      <c r="O631" t="str">
        <f t="shared" si="27"/>
        <v>April</v>
      </c>
      <c r="P631">
        <f t="shared" si="28"/>
        <v>4</v>
      </c>
      <c r="Q631">
        <f t="shared" si="29"/>
        <v>2023</v>
      </c>
    </row>
    <row r="632" spans="1:17" x14ac:dyDescent="0.25">
      <c r="A632">
        <v>1083</v>
      </c>
      <c r="B632" s="1">
        <v>45152</v>
      </c>
      <c r="C632" t="s">
        <v>38</v>
      </c>
      <c r="D632" t="s">
        <v>21</v>
      </c>
      <c r="E632" s="4">
        <v>4902.4399999999996</v>
      </c>
      <c r="F632" s="2">
        <v>42</v>
      </c>
      <c r="G632" t="s">
        <v>29</v>
      </c>
      <c r="H632">
        <v>2505.41</v>
      </c>
      <c r="I632">
        <v>2638.96</v>
      </c>
      <c r="J632" t="s">
        <v>30</v>
      </c>
      <c r="K632" s="5">
        <v>0.1</v>
      </c>
      <c r="L632" t="s">
        <v>27</v>
      </c>
      <c r="M632" t="s">
        <v>19</v>
      </c>
      <c r="N632" t="s">
        <v>41</v>
      </c>
      <c r="O632" t="str">
        <f t="shared" si="27"/>
        <v>August</v>
      </c>
      <c r="P632">
        <f t="shared" si="28"/>
        <v>8</v>
      </c>
      <c r="Q632">
        <f t="shared" si="29"/>
        <v>2023</v>
      </c>
    </row>
    <row r="633" spans="1:17" x14ac:dyDescent="0.25">
      <c r="A633">
        <v>1016</v>
      </c>
      <c r="B633" s="1">
        <v>45239</v>
      </c>
      <c r="C633" t="s">
        <v>33</v>
      </c>
      <c r="D633" t="s">
        <v>25</v>
      </c>
      <c r="E633" s="4">
        <v>3402.92</v>
      </c>
      <c r="F633" s="2">
        <v>24</v>
      </c>
      <c r="G633" t="s">
        <v>16</v>
      </c>
      <c r="H633">
        <v>88.44</v>
      </c>
      <c r="I633">
        <v>338.94</v>
      </c>
      <c r="J633" t="s">
        <v>30</v>
      </c>
      <c r="K633" s="5">
        <v>0.28999999999999998</v>
      </c>
      <c r="L633" t="s">
        <v>18</v>
      </c>
      <c r="M633" t="s">
        <v>19</v>
      </c>
      <c r="N633" t="s">
        <v>44</v>
      </c>
      <c r="O633" t="str">
        <f t="shared" si="27"/>
        <v>November</v>
      </c>
      <c r="P633">
        <f t="shared" si="28"/>
        <v>11</v>
      </c>
      <c r="Q633">
        <f t="shared" si="29"/>
        <v>2023</v>
      </c>
    </row>
    <row r="634" spans="1:17" x14ac:dyDescent="0.25">
      <c r="A634">
        <v>1069</v>
      </c>
      <c r="B634" s="1">
        <v>45144</v>
      </c>
      <c r="C634" t="s">
        <v>14</v>
      </c>
      <c r="D634" t="s">
        <v>15</v>
      </c>
      <c r="E634" s="4">
        <v>7936.43</v>
      </c>
      <c r="F634" s="2">
        <v>4</v>
      </c>
      <c r="G634" t="s">
        <v>35</v>
      </c>
      <c r="H634">
        <v>2485.86</v>
      </c>
      <c r="I634">
        <v>2532.87</v>
      </c>
      <c r="J634" t="s">
        <v>30</v>
      </c>
      <c r="K634" s="5">
        <v>0.01</v>
      </c>
      <c r="L634" t="s">
        <v>31</v>
      </c>
      <c r="M634" t="s">
        <v>19</v>
      </c>
      <c r="N634" t="s">
        <v>20</v>
      </c>
      <c r="O634" t="str">
        <f t="shared" si="27"/>
        <v>August</v>
      </c>
      <c r="P634">
        <f t="shared" si="28"/>
        <v>8</v>
      </c>
      <c r="Q634">
        <f t="shared" si="29"/>
        <v>2023</v>
      </c>
    </row>
    <row r="635" spans="1:17" x14ac:dyDescent="0.25">
      <c r="A635">
        <v>1099</v>
      </c>
      <c r="B635" s="1">
        <v>45167</v>
      </c>
      <c r="C635" t="s">
        <v>42</v>
      </c>
      <c r="D635" t="s">
        <v>21</v>
      </c>
      <c r="E635" s="4">
        <v>4567.8100000000004</v>
      </c>
      <c r="F635" s="2">
        <v>44</v>
      </c>
      <c r="G635" t="s">
        <v>29</v>
      </c>
      <c r="H635">
        <v>4933.1099999999997</v>
      </c>
      <c r="I635">
        <v>5245.86</v>
      </c>
      <c r="J635" t="s">
        <v>17</v>
      </c>
      <c r="K635" s="5">
        <v>0.13</v>
      </c>
      <c r="L635" t="s">
        <v>27</v>
      </c>
      <c r="M635" t="s">
        <v>22</v>
      </c>
      <c r="N635" t="s">
        <v>51</v>
      </c>
      <c r="O635" t="str">
        <f t="shared" si="27"/>
        <v>August</v>
      </c>
      <c r="P635">
        <f t="shared" si="28"/>
        <v>8</v>
      </c>
      <c r="Q635">
        <f t="shared" si="29"/>
        <v>2023</v>
      </c>
    </row>
    <row r="636" spans="1:17" x14ac:dyDescent="0.25">
      <c r="A636">
        <v>1012</v>
      </c>
      <c r="B636" s="1">
        <v>45185</v>
      </c>
      <c r="C636" t="s">
        <v>24</v>
      </c>
      <c r="D636" t="s">
        <v>25</v>
      </c>
      <c r="E636" s="4">
        <v>1916.08</v>
      </c>
      <c r="F636" s="2">
        <v>19</v>
      </c>
      <c r="G636" t="s">
        <v>35</v>
      </c>
      <c r="H636">
        <v>1427.42</v>
      </c>
      <c r="I636">
        <v>1763.69</v>
      </c>
      <c r="J636" t="s">
        <v>30</v>
      </c>
      <c r="K636" s="5">
        <v>0.03</v>
      </c>
      <c r="L636" t="s">
        <v>18</v>
      </c>
      <c r="M636" t="s">
        <v>22</v>
      </c>
      <c r="N636" t="s">
        <v>28</v>
      </c>
      <c r="O636" t="str">
        <f t="shared" si="27"/>
        <v>September</v>
      </c>
      <c r="P636">
        <f t="shared" si="28"/>
        <v>9</v>
      </c>
      <c r="Q636">
        <f t="shared" si="29"/>
        <v>2023</v>
      </c>
    </row>
    <row r="637" spans="1:17" x14ac:dyDescent="0.25">
      <c r="A637">
        <v>1025</v>
      </c>
      <c r="B637" s="1">
        <v>45188</v>
      </c>
      <c r="C637" t="s">
        <v>42</v>
      </c>
      <c r="D637" t="s">
        <v>34</v>
      </c>
      <c r="E637" s="4">
        <v>8564.24</v>
      </c>
      <c r="F637" s="2">
        <v>26</v>
      </c>
      <c r="G637" t="s">
        <v>35</v>
      </c>
      <c r="H637">
        <v>2007.32</v>
      </c>
      <c r="I637">
        <v>2202.87</v>
      </c>
      <c r="J637" t="s">
        <v>17</v>
      </c>
      <c r="K637" s="5">
        <v>0.11</v>
      </c>
      <c r="L637" t="s">
        <v>18</v>
      </c>
      <c r="M637" t="s">
        <v>19</v>
      </c>
      <c r="N637" t="s">
        <v>52</v>
      </c>
      <c r="O637" t="str">
        <f t="shared" si="27"/>
        <v>September</v>
      </c>
      <c r="P637">
        <f t="shared" si="28"/>
        <v>9</v>
      </c>
      <c r="Q637">
        <f t="shared" si="29"/>
        <v>2023</v>
      </c>
    </row>
    <row r="638" spans="1:17" x14ac:dyDescent="0.25">
      <c r="A638">
        <v>1052</v>
      </c>
      <c r="B638" s="1">
        <v>44931</v>
      </c>
      <c r="C638" t="s">
        <v>14</v>
      </c>
      <c r="D638" t="s">
        <v>15</v>
      </c>
      <c r="E638" s="4">
        <v>8837.34</v>
      </c>
      <c r="F638" s="2">
        <v>11</v>
      </c>
      <c r="G638" t="s">
        <v>29</v>
      </c>
      <c r="H638">
        <v>3451.59</v>
      </c>
      <c r="I638">
        <v>3929.26</v>
      </c>
      <c r="J638" t="s">
        <v>30</v>
      </c>
      <c r="K638" s="5">
        <v>0.3</v>
      </c>
      <c r="L638" t="s">
        <v>31</v>
      </c>
      <c r="M638" t="s">
        <v>22</v>
      </c>
      <c r="N638" t="s">
        <v>20</v>
      </c>
      <c r="O638" t="str">
        <f t="shared" si="27"/>
        <v>January</v>
      </c>
      <c r="P638">
        <f t="shared" si="28"/>
        <v>1</v>
      </c>
      <c r="Q638">
        <f t="shared" si="29"/>
        <v>2023</v>
      </c>
    </row>
    <row r="639" spans="1:17" x14ac:dyDescent="0.25">
      <c r="A639">
        <v>1085</v>
      </c>
      <c r="B639" s="1">
        <v>45187</v>
      </c>
      <c r="C639" t="s">
        <v>38</v>
      </c>
      <c r="D639" t="s">
        <v>34</v>
      </c>
      <c r="E639" s="4">
        <v>4716.47</v>
      </c>
      <c r="F639" s="2">
        <v>40</v>
      </c>
      <c r="G639" t="s">
        <v>29</v>
      </c>
      <c r="H639">
        <v>4083.23</v>
      </c>
      <c r="I639">
        <v>4521.57</v>
      </c>
      <c r="J639" t="s">
        <v>30</v>
      </c>
      <c r="K639" s="5">
        <v>0.27</v>
      </c>
      <c r="L639" t="s">
        <v>27</v>
      </c>
      <c r="M639" t="s">
        <v>22</v>
      </c>
      <c r="N639" t="s">
        <v>48</v>
      </c>
      <c r="O639" t="str">
        <f t="shared" si="27"/>
        <v>September</v>
      </c>
      <c r="P639">
        <f t="shared" si="28"/>
        <v>9</v>
      </c>
      <c r="Q639">
        <f t="shared" si="29"/>
        <v>2023</v>
      </c>
    </row>
    <row r="640" spans="1:17" x14ac:dyDescent="0.25">
      <c r="A640">
        <v>1100</v>
      </c>
      <c r="B640" s="1">
        <v>44980</v>
      </c>
      <c r="C640" t="s">
        <v>38</v>
      </c>
      <c r="D640" t="s">
        <v>15</v>
      </c>
      <c r="E640" s="4">
        <v>849.43</v>
      </c>
      <c r="F640" s="2">
        <v>43</v>
      </c>
      <c r="G640" t="s">
        <v>16</v>
      </c>
      <c r="H640">
        <v>2116.09</v>
      </c>
      <c r="I640">
        <v>2472.98</v>
      </c>
      <c r="J640" t="s">
        <v>30</v>
      </c>
      <c r="K640" s="5">
        <v>0.01</v>
      </c>
      <c r="L640" t="s">
        <v>31</v>
      </c>
      <c r="M640" t="s">
        <v>22</v>
      </c>
      <c r="N640" t="s">
        <v>40</v>
      </c>
      <c r="O640" t="str">
        <f t="shared" si="27"/>
        <v>February</v>
      </c>
      <c r="P640">
        <f t="shared" si="28"/>
        <v>2</v>
      </c>
      <c r="Q640">
        <f t="shared" si="29"/>
        <v>2023</v>
      </c>
    </row>
    <row r="641" spans="1:17" x14ac:dyDescent="0.25">
      <c r="A641">
        <v>1053</v>
      </c>
      <c r="B641" s="1">
        <v>44973</v>
      </c>
      <c r="C641" t="s">
        <v>38</v>
      </c>
      <c r="D641" t="s">
        <v>21</v>
      </c>
      <c r="E641" s="4">
        <v>3939.48</v>
      </c>
      <c r="F641" s="2">
        <v>11</v>
      </c>
      <c r="G641" t="s">
        <v>16</v>
      </c>
      <c r="H641">
        <v>1582.86</v>
      </c>
      <c r="I641">
        <v>1942.55</v>
      </c>
      <c r="J641" t="s">
        <v>30</v>
      </c>
      <c r="K641" s="5">
        <v>0.17</v>
      </c>
      <c r="L641" t="s">
        <v>31</v>
      </c>
      <c r="M641" t="s">
        <v>22</v>
      </c>
      <c r="N641" t="s">
        <v>41</v>
      </c>
      <c r="O641" t="str">
        <f t="shared" si="27"/>
        <v>February</v>
      </c>
      <c r="P641">
        <f t="shared" si="28"/>
        <v>2</v>
      </c>
      <c r="Q641">
        <f t="shared" si="29"/>
        <v>2023</v>
      </c>
    </row>
    <row r="642" spans="1:17" x14ac:dyDescent="0.25">
      <c r="A642">
        <v>1023</v>
      </c>
      <c r="B642" s="1">
        <v>45141</v>
      </c>
      <c r="C642" t="s">
        <v>24</v>
      </c>
      <c r="D642" t="s">
        <v>21</v>
      </c>
      <c r="E642" s="4">
        <v>8055.02</v>
      </c>
      <c r="F642" s="2">
        <v>45</v>
      </c>
      <c r="G642" t="s">
        <v>26</v>
      </c>
      <c r="H642">
        <v>4692.24</v>
      </c>
      <c r="I642">
        <v>4825.92</v>
      </c>
      <c r="J642" t="s">
        <v>17</v>
      </c>
      <c r="K642" s="5">
        <v>0.19</v>
      </c>
      <c r="L642" t="s">
        <v>27</v>
      </c>
      <c r="M642" t="s">
        <v>22</v>
      </c>
      <c r="N642" t="s">
        <v>47</v>
      </c>
      <c r="O642" t="str">
        <f t="shared" ref="O642:O705" si="30">TEXT(B642,"mmmm")</f>
        <v>August</v>
      </c>
      <c r="P642">
        <f t="shared" ref="P642:P705" si="31">MONTH(B642)</f>
        <v>8</v>
      </c>
      <c r="Q642">
        <f t="shared" ref="Q642:Q705" si="32">YEAR(B642)</f>
        <v>2023</v>
      </c>
    </row>
    <row r="643" spans="1:17" x14ac:dyDescent="0.25">
      <c r="A643">
        <v>1016</v>
      </c>
      <c r="B643" s="1">
        <v>45103</v>
      </c>
      <c r="C643" t="s">
        <v>33</v>
      </c>
      <c r="D643" t="s">
        <v>15</v>
      </c>
      <c r="E643" s="4">
        <v>9027.56</v>
      </c>
      <c r="F643" s="2">
        <v>3</v>
      </c>
      <c r="G643" t="s">
        <v>35</v>
      </c>
      <c r="H643">
        <v>3401.87</v>
      </c>
      <c r="I643">
        <v>3733.71</v>
      </c>
      <c r="J643" t="s">
        <v>17</v>
      </c>
      <c r="K643" s="5">
        <v>0.06</v>
      </c>
      <c r="L643" t="s">
        <v>27</v>
      </c>
      <c r="M643" t="s">
        <v>22</v>
      </c>
      <c r="N643" t="s">
        <v>53</v>
      </c>
      <c r="O643" t="str">
        <f t="shared" si="30"/>
        <v>June</v>
      </c>
      <c r="P643">
        <f t="shared" si="31"/>
        <v>6</v>
      </c>
      <c r="Q643">
        <f t="shared" si="32"/>
        <v>2023</v>
      </c>
    </row>
    <row r="644" spans="1:17" x14ac:dyDescent="0.25">
      <c r="A644">
        <v>1057</v>
      </c>
      <c r="B644" s="1">
        <v>44935</v>
      </c>
      <c r="C644" t="s">
        <v>33</v>
      </c>
      <c r="D644" t="s">
        <v>15</v>
      </c>
      <c r="E644" s="4">
        <v>2114.38</v>
      </c>
      <c r="F644" s="2">
        <v>12</v>
      </c>
      <c r="G644" t="s">
        <v>16</v>
      </c>
      <c r="H644">
        <v>639.16</v>
      </c>
      <c r="I644">
        <v>746.28</v>
      </c>
      <c r="J644" t="s">
        <v>17</v>
      </c>
      <c r="K644" s="5">
        <v>0.04</v>
      </c>
      <c r="L644" t="s">
        <v>27</v>
      </c>
      <c r="M644" t="s">
        <v>22</v>
      </c>
      <c r="N644" t="s">
        <v>53</v>
      </c>
      <c r="O644" t="str">
        <f t="shared" si="30"/>
        <v>January</v>
      </c>
      <c r="P644">
        <f t="shared" si="31"/>
        <v>1</v>
      </c>
      <c r="Q644">
        <f t="shared" si="32"/>
        <v>2023</v>
      </c>
    </row>
    <row r="645" spans="1:17" x14ac:dyDescent="0.25">
      <c r="A645">
        <v>1039</v>
      </c>
      <c r="B645" s="1">
        <v>45025</v>
      </c>
      <c r="C645" t="s">
        <v>42</v>
      </c>
      <c r="D645" t="s">
        <v>15</v>
      </c>
      <c r="E645" s="4">
        <v>763.04</v>
      </c>
      <c r="F645" s="2">
        <v>3</v>
      </c>
      <c r="G645" t="s">
        <v>26</v>
      </c>
      <c r="H645">
        <v>391.19</v>
      </c>
      <c r="I645">
        <v>471.75</v>
      </c>
      <c r="J645" t="s">
        <v>17</v>
      </c>
      <c r="K645" s="5">
        <v>0.27</v>
      </c>
      <c r="L645" t="s">
        <v>18</v>
      </c>
      <c r="M645" t="s">
        <v>19</v>
      </c>
      <c r="N645" t="s">
        <v>49</v>
      </c>
      <c r="O645" t="str">
        <f t="shared" si="30"/>
        <v>April</v>
      </c>
      <c r="P645">
        <f t="shared" si="31"/>
        <v>4</v>
      </c>
      <c r="Q645">
        <f t="shared" si="32"/>
        <v>2023</v>
      </c>
    </row>
    <row r="646" spans="1:17" x14ac:dyDescent="0.25">
      <c r="A646">
        <v>1053</v>
      </c>
      <c r="B646" s="1">
        <v>44946</v>
      </c>
      <c r="C646" t="s">
        <v>24</v>
      </c>
      <c r="D646" t="s">
        <v>21</v>
      </c>
      <c r="E646" s="4">
        <v>8785.77</v>
      </c>
      <c r="F646" s="2">
        <v>42</v>
      </c>
      <c r="G646" t="s">
        <v>16</v>
      </c>
      <c r="H646">
        <v>2443.5700000000002</v>
      </c>
      <c r="I646">
        <v>2943.31</v>
      </c>
      <c r="J646" t="s">
        <v>30</v>
      </c>
      <c r="K646" s="5">
        <v>0.28999999999999998</v>
      </c>
      <c r="L646" t="s">
        <v>18</v>
      </c>
      <c r="M646" t="s">
        <v>19</v>
      </c>
      <c r="N646" t="s">
        <v>47</v>
      </c>
      <c r="O646" t="str">
        <f t="shared" si="30"/>
        <v>January</v>
      </c>
      <c r="P646">
        <f t="shared" si="31"/>
        <v>1</v>
      </c>
      <c r="Q646">
        <f t="shared" si="32"/>
        <v>2023</v>
      </c>
    </row>
    <row r="647" spans="1:17" x14ac:dyDescent="0.25">
      <c r="A647">
        <v>1042</v>
      </c>
      <c r="B647" s="1">
        <v>45167</v>
      </c>
      <c r="C647" t="s">
        <v>38</v>
      </c>
      <c r="D647" t="s">
        <v>25</v>
      </c>
      <c r="E647" s="4">
        <v>3955.11</v>
      </c>
      <c r="F647" s="2">
        <v>27</v>
      </c>
      <c r="G647" t="s">
        <v>29</v>
      </c>
      <c r="H647">
        <v>1139.45</v>
      </c>
      <c r="I647">
        <v>1454.41</v>
      </c>
      <c r="J647" t="s">
        <v>17</v>
      </c>
      <c r="K647" s="5">
        <v>0.3</v>
      </c>
      <c r="L647" t="s">
        <v>27</v>
      </c>
      <c r="M647" t="s">
        <v>19</v>
      </c>
      <c r="N647" t="s">
        <v>39</v>
      </c>
      <c r="O647" t="str">
        <f t="shared" si="30"/>
        <v>August</v>
      </c>
      <c r="P647">
        <f t="shared" si="31"/>
        <v>8</v>
      </c>
      <c r="Q647">
        <f t="shared" si="32"/>
        <v>2023</v>
      </c>
    </row>
    <row r="648" spans="1:17" x14ac:dyDescent="0.25">
      <c r="A648">
        <v>1058</v>
      </c>
      <c r="B648" s="1">
        <v>44987</v>
      </c>
      <c r="C648" t="s">
        <v>38</v>
      </c>
      <c r="D648" t="s">
        <v>34</v>
      </c>
      <c r="E648" s="4">
        <v>5463.43</v>
      </c>
      <c r="F648" s="2">
        <v>49</v>
      </c>
      <c r="G648" t="s">
        <v>16</v>
      </c>
      <c r="H648">
        <v>1307.22</v>
      </c>
      <c r="I648">
        <v>1528.4</v>
      </c>
      <c r="J648" t="s">
        <v>17</v>
      </c>
      <c r="K648" s="5">
        <v>0.24</v>
      </c>
      <c r="L648" t="s">
        <v>18</v>
      </c>
      <c r="M648" t="s">
        <v>22</v>
      </c>
      <c r="N648" t="s">
        <v>48</v>
      </c>
      <c r="O648" t="str">
        <f t="shared" si="30"/>
        <v>March</v>
      </c>
      <c r="P648">
        <f t="shared" si="31"/>
        <v>3</v>
      </c>
      <c r="Q648">
        <f t="shared" si="32"/>
        <v>2023</v>
      </c>
    </row>
    <row r="649" spans="1:17" x14ac:dyDescent="0.25">
      <c r="A649">
        <v>1039</v>
      </c>
      <c r="B649" s="1">
        <v>45104</v>
      </c>
      <c r="C649" t="s">
        <v>14</v>
      </c>
      <c r="D649" t="s">
        <v>34</v>
      </c>
      <c r="E649" s="4">
        <v>9683.85</v>
      </c>
      <c r="F649" s="2">
        <v>2</v>
      </c>
      <c r="G649" t="s">
        <v>35</v>
      </c>
      <c r="H649">
        <v>4394.58</v>
      </c>
      <c r="I649">
        <v>4545.78</v>
      </c>
      <c r="J649" t="s">
        <v>17</v>
      </c>
      <c r="K649" s="5">
        <v>0.2</v>
      </c>
      <c r="L649" t="s">
        <v>31</v>
      </c>
      <c r="M649" t="s">
        <v>22</v>
      </c>
      <c r="N649" t="s">
        <v>46</v>
      </c>
      <c r="O649" t="str">
        <f t="shared" si="30"/>
        <v>June</v>
      </c>
      <c r="P649">
        <f t="shared" si="31"/>
        <v>6</v>
      </c>
      <c r="Q649">
        <f t="shared" si="32"/>
        <v>2023</v>
      </c>
    </row>
    <row r="650" spans="1:17" x14ac:dyDescent="0.25">
      <c r="A650">
        <v>1014</v>
      </c>
      <c r="B650" s="1">
        <v>45264</v>
      </c>
      <c r="C650" t="s">
        <v>14</v>
      </c>
      <c r="D650" t="s">
        <v>21</v>
      </c>
      <c r="E650" s="4">
        <v>758.99</v>
      </c>
      <c r="F650" s="2">
        <v>49</v>
      </c>
      <c r="G650" t="s">
        <v>16</v>
      </c>
      <c r="H650">
        <v>493.35</v>
      </c>
      <c r="I650">
        <v>799.27</v>
      </c>
      <c r="J650" t="s">
        <v>30</v>
      </c>
      <c r="K650" s="5">
        <v>0.1</v>
      </c>
      <c r="L650" t="s">
        <v>27</v>
      </c>
      <c r="M650" t="s">
        <v>19</v>
      </c>
      <c r="N650" t="s">
        <v>23</v>
      </c>
      <c r="O650" t="str">
        <f t="shared" si="30"/>
        <v>December</v>
      </c>
      <c r="P650">
        <f t="shared" si="31"/>
        <v>12</v>
      </c>
      <c r="Q650">
        <f t="shared" si="32"/>
        <v>2023</v>
      </c>
    </row>
    <row r="651" spans="1:17" x14ac:dyDescent="0.25">
      <c r="A651">
        <v>1095</v>
      </c>
      <c r="B651" s="1">
        <v>44988</v>
      </c>
      <c r="C651" t="s">
        <v>38</v>
      </c>
      <c r="D651" t="s">
        <v>34</v>
      </c>
      <c r="E651" s="4">
        <v>6518.35</v>
      </c>
      <c r="F651" s="2">
        <v>16</v>
      </c>
      <c r="G651" t="s">
        <v>35</v>
      </c>
      <c r="H651">
        <v>3591.05</v>
      </c>
      <c r="I651">
        <v>3625.35</v>
      </c>
      <c r="J651" t="s">
        <v>17</v>
      </c>
      <c r="K651" s="5">
        <v>0.05</v>
      </c>
      <c r="L651" t="s">
        <v>31</v>
      </c>
      <c r="M651" t="s">
        <v>22</v>
      </c>
      <c r="N651" t="s">
        <v>48</v>
      </c>
      <c r="O651" t="str">
        <f t="shared" si="30"/>
        <v>March</v>
      </c>
      <c r="P651">
        <f t="shared" si="31"/>
        <v>3</v>
      </c>
      <c r="Q651">
        <f t="shared" si="32"/>
        <v>2023</v>
      </c>
    </row>
    <row r="652" spans="1:17" x14ac:dyDescent="0.25">
      <c r="A652">
        <v>1005</v>
      </c>
      <c r="B652" s="1">
        <v>45071</v>
      </c>
      <c r="C652" t="s">
        <v>38</v>
      </c>
      <c r="D652" t="s">
        <v>15</v>
      </c>
      <c r="E652" s="4">
        <v>833.64</v>
      </c>
      <c r="F652" s="2">
        <v>2</v>
      </c>
      <c r="G652" t="s">
        <v>29</v>
      </c>
      <c r="H652">
        <v>1392.15</v>
      </c>
      <c r="I652">
        <v>1448.54</v>
      </c>
      <c r="J652" t="s">
        <v>17</v>
      </c>
      <c r="K652" s="5">
        <v>0.02</v>
      </c>
      <c r="L652" t="s">
        <v>27</v>
      </c>
      <c r="M652" t="s">
        <v>22</v>
      </c>
      <c r="N652" t="s">
        <v>40</v>
      </c>
      <c r="O652" t="str">
        <f t="shared" si="30"/>
        <v>May</v>
      </c>
      <c r="P652">
        <f t="shared" si="31"/>
        <v>5</v>
      </c>
      <c r="Q652">
        <f t="shared" si="32"/>
        <v>2023</v>
      </c>
    </row>
    <row r="653" spans="1:17" x14ac:dyDescent="0.25">
      <c r="A653">
        <v>1035</v>
      </c>
      <c r="B653" s="1">
        <v>45142</v>
      </c>
      <c r="C653" t="s">
        <v>24</v>
      </c>
      <c r="D653" t="s">
        <v>25</v>
      </c>
      <c r="E653" s="4">
        <v>3817.14</v>
      </c>
      <c r="F653" s="2">
        <v>30</v>
      </c>
      <c r="G653" t="s">
        <v>35</v>
      </c>
      <c r="H653">
        <v>3813.62</v>
      </c>
      <c r="I653">
        <v>3839.72</v>
      </c>
      <c r="J653" t="s">
        <v>30</v>
      </c>
      <c r="K653" s="5">
        <v>0.21</v>
      </c>
      <c r="L653" t="s">
        <v>31</v>
      </c>
      <c r="M653" t="s">
        <v>19</v>
      </c>
      <c r="N653" t="s">
        <v>28</v>
      </c>
      <c r="O653" t="str">
        <f t="shared" si="30"/>
        <v>August</v>
      </c>
      <c r="P653">
        <f t="shared" si="31"/>
        <v>8</v>
      </c>
      <c r="Q653">
        <f t="shared" si="32"/>
        <v>2023</v>
      </c>
    </row>
    <row r="654" spans="1:17" x14ac:dyDescent="0.25">
      <c r="A654">
        <v>1087</v>
      </c>
      <c r="B654" s="1">
        <v>44929</v>
      </c>
      <c r="C654" t="s">
        <v>33</v>
      </c>
      <c r="D654" t="s">
        <v>34</v>
      </c>
      <c r="E654" s="4">
        <v>8057.76</v>
      </c>
      <c r="F654" s="2">
        <v>20</v>
      </c>
      <c r="G654" t="s">
        <v>16</v>
      </c>
      <c r="H654">
        <v>3625.94</v>
      </c>
      <c r="I654">
        <v>3880.53</v>
      </c>
      <c r="J654" t="s">
        <v>30</v>
      </c>
      <c r="K654" s="5">
        <v>0.24</v>
      </c>
      <c r="L654" t="s">
        <v>27</v>
      </c>
      <c r="M654" t="s">
        <v>19</v>
      </c>
      <c r="N654" t="s">
        <v>36</v>
      </c>
      <c r="O654" t="str">
        <f t="shared" si="30"/>
        <v>January</v>
      </c>
      <c r="P654">
        <f t="shared" si="31"/>
        <v>1</v>
      </c>
      <c r="Q654">
        <f t="shared" si="32"/>
        <v>2023</v>
      </c>
    </row>
    <row r="655" spans="1:17" x14ac:dyDescent="0.25">
      <c r="A655">
        <v>1093</v>
      </c>
      <c r="B655" s="1">
        <v>45086</v>
      </c>
      <c r="C655" t="s">
        <v>14</v>
      </c>
      <c r="D655" t="s">
        <v>25</v>
      </c>
      <c r="E655" s="4">
        <v>4391.38</v>
      </c>
      <c r="F655" s="2">
        <v>38</v>
      </c>
      <c r="G655" t="s">
        <v>26</v>
      </c>
      <c r="H655">
        <v>86.59</v>
      </c>
      <c r="I655">
        <v>390.89</v>
      </c>
      <c r="J655" t="s">
        <v>17</v>
      </c>
      <c r="K655" s="5">
        <v>0.25</v>
      </c>
      <c r="L655" t="s">
        <v>31</v>
      </c>
      <c r="M655" t="s">
        <v>19</v>
      </c>
      <c r="N655" t="s">
        <v>32</v>
      </c>
      <c r="O655" t="str">
        <f t="shared" si="30"/>
        <v>June</v>
      </c>
      <c r="P655">
        <f t="shared" si="31"/>
        <v>6</v>
      </c>
      <c r="Q655">
        <f t="shared" si="32"/>
        <v>2023</v>
      </c>
    </row>
    <row r="656" spans="1:17" x14ac:dyDescent="0.25">
      <c r="A656">
        <v>1075</v>
      </c>
      <c r="B656" s="1">
        <v>45153</v>
      </c>
      <c r="C656" t="s">
        <v>33</v>
      </c>
      <c r="D656" t="s">
        <v>15</v>
      </c>
      <c r="E656" s="4">
        <v>9972.11</v>
      </c>
      <c r="F656" s="2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 s="5">
        <v>0.27</v>
      </c>
      <c r="L656" t="s">
        <v>27</v>
      </c>
      <c r="M656" t="s">
        <v>22</v>
      </c>
      <c r="N656" t="s">
        <v>53</v>
      </c>
      <c r="O656" t="str">
        <f t="shared" si="30"/>
        <v>August</v>
      </c>
      <c r="P656">
        <f t="shared" si="31"/>
        <v>8</v>
      </c>
      <c r="Q656">
        <f t="shared" si="32"/>
        <v>2023</v>
      </c>
    </row>
    <row r="657" spans="1:17" x14ac:dyDescent="0.25">
      <c r="A657">
        <v>1018</v>
      </c>
      <c r="B657" s="1">
        <v>45195</v>
      </c>
      <c r="C657" t="s">
        <v>24</v>
      </c>
      <c r="D657" t="s">
        <v>34</v>
      </c>
      <c r="E657" s="4">
        <v>5634.69</v>
      </c>
      <c r="F657" s="2">
        <v>25</v>
      </c>
      <c r="G657" t="s">
        <v>16</v>
      </c>
      <c r="H657">
        <v>739.63</v>
      </c>
      <c r="I657">
        <v>1103.03</v>
      </c>
      <c r="J657" t="s">
        <v>30</v>
      </c>
      <c r="K657" s="5">
        <v>0.26</v>
      </c>
      <c r="L657" t="s">
        <v>27</v>
      </c>
      <c r="M657" t="s">
        <v>22</v>
      </c>
      <c r="N657" t="s">
        <v>50</v>
      </c>
      <c r="O657" t="str">
        <f t="shared" si="30"/>
        <v>September</v>
      </c>
      <c r="P657">
        <f t="shared" si="31"/>
        <v>9</v>
      </c>
      <c r="Q657">
        <f t="shared" si="32"/>
        <v>2023</v>
      </c>
    </row>
    <row r="658" spans="1:17" x14ac:dyDescent="0.25">
      <c r="A658">
        <v>1076</v>
      </c>
      <c r="B658" s="1">
        <v>45046</v>
      </c>
      <c r="C658" t="s">
        <v>38</v>
      </c>
      <c r="D658" t="s">
        <v>21</v>
      </c>
      <c r="E658" s="4">
        <v>3279.51</v>
      </c>
      <c r="F658" s="2">
        <v>32</v>
      </c>
      <c r="G658" t="s">
        <v>29</v>
      </c>
      <c r="H658">
        <v>4337.82</v>
      </c>
      <c r="I658">
        <v>4460.71</v>
      </c>
      <c r="J658" t="s">
        <v>17</v>
      </c>
      <c r="K658" s="5">
        <v>0.3</v>
      </c>
      <c r="L658" t="s">
        <v>18</v>
      </c>
      <c r="M658" t="s">
        <v>22</v>
      </c>
      <c r="N658" t="s">
        <v>41</v>
      </c>
      <c r="O658" t="str">
        <f t="shared" si="30"/>
        <v>April</v>
      </c>
      <c r="P658">
        <f t="shared" si="31"/>
        <v>4</v>
      </c>
      <c r="Q658">
        <f t="shared" si="32"/>
        <v>2023</v>
      </c>
    </row>
    <row r="659" spans="1:17" x14ac:dyDescent="0.25">
      <c r="A659">
        <v>1009</v>
      </c>
      <c r="B659" s="1">
        <v>45015</v>
      </c>
      <c r="C659" t="s">
        <v>33</v>
      </c>
      <c r="D659" t="s">
        <v>25</v>
      </c>
      <c r="E659" s="4">
        <v>2279.1</v>
      </c>
      <c r="F659" s="2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 s="5">
        <v>7.0000000000000007E-2</v>
      </c>
      <c r="L659" t="s">
        <v>31</v>
      </c>
      <c r="M659" t="s">
        <v>19</v>
      </c>
      <c r="N659" t="s">
        <v>44</v>
      </c>
      <c r="O659" t="str">
        <f t="shared" si="30"/>
        <v>March</v>
      </c>
      <c r="P659">
        <f t="shared" si="31"/>
        <v>3</v>
      </c>
      <c r="Q659">
        <f t="shared" si="32"/>
        <v>2023</v>
      </c>
    </row>
    <row r="660" spans="1:17" x14ac:dyDescent="0.25">
      <c r="A660">
        <v>1074</v>
      </c>
      <c r="B660" s="1">
        <v>45255</v>
      </c>
      <c r="C660" t="s">
        <v>38</v>
      </c>
      <c r="D660" t="s">
        <v>15</v>
      </c>
      <c r="E660" s="4">
        <v>3570.15</v>
      </c>
      <c r="F660" s="2">
        <v>42</v>
      </c>
      <c r="G660" t="s">
        <v>16</v>
      </c>
      <c r="H660">
        <v>2120.81</v>
      </c>
      <c r="I660">
        <v>2611.94</v>
      </c>
      <c r="J660" t="s">
        <v>17</v>
      </c>
      <c r="K660" s="5">
        <v>0.23</v>
      </c>
      <c r="L660" t="s">
        <v>18</v>
      </c>
      <c r="M660" t="s">
        <v>19</v>
      </c>
      <c r="N660" t="s">
        <v>40</v>
      </c>
      <c r="O660" t="str">
        <f t="shared" si="30"/>
        <v>November</v>
      </c>
      <c r="P660">
        <f t="shared" si="31"/>
        <v>11</v>
      </c>
      <c r="Q660">
        <f t="shared" si="32"/>
        <v>2023</v>
      </c>
    </row>
    <row r="661" spans="1:17" x14ac:dyDescent="0.25">
      <c r="A661">
        <v>1058</v>
      </c>
      <c r="B661" s="1">
        <v>44994</v>
      </c>
      <c r="C661" t="s">
        <v>38</v>
      </c>
      <c r="D661" t="s">
        <v>25</v>
      </c>
      <c r="E661" s="4">
        <v>3788.08</v>
      </c>
      <c r="F661" s="2">
        <v>40</v>
      </c>
      <c r="G661" t="s">
        <v>16</v>
      </c>
      <c r="H661">
        <v>2249.7600000000002</v>
      </c>
      <c r="I661">
        <v>2598.4</v>
      </c>
      <c r="J661" t="s">
        <v>17</v>
      </c>
      <c r="K661" s="5">
        <v>0.18</v>
      </c>
      <c r="L661" t="s">
        <v>31</v>
      </c>
      <c r="M661" t="s">
        <v>22</v>
      </c>
      <c r="N661" t="s">
        <v>39</v>
      </c>
      <c r="O661" t="str">
        <f t="shared" si="30"/>
        <v>March</v>
      </c>
      <c r="P661">
        <f t="shared" si="31"/>
        <v>3</v>
      </c>
      <c r="Q661">
        <f t="shared" si="32"/>
        <v>2023</v>
      </c>
    </row>
    <row r="662" spans="1:17" x14ac:dyDescent="0.25">
      <c r="A662">
        <v>1017</v>
      </c>
      <c r="B662" s="1">
        <v>45283</v>
      </c>
      <c r="C662" t="s">
        <v>42</v>
      </c>
      <c r="D662" t="s">
        <v>34</v>
      </c>
      <c r="E662" s="4">
        <v>780.27</v>
      </c>
      <c r="F662" s="2">
        <v>33</v>
      </c>
      <c r="G662" t="s">
        <v>26</v>
      </c>
      <c r="H662">
        <v>1551.25</v>
      </c>
      <c r="I662">
        <v>1994.01</v>
      </c>
      <c r="J662" t="s">
        <v>17</v>
      </c>
      <c r="K662" s="5">
        <v>0.08</v>
      </c>
      <c r="L662" t="s">
        <v>18</v>
      </c>
      <c r="M662" t="s">
        <v>19</v>
      </c>
      <c r="N662" t="s">
        <v>52</v>
      </c>
      <c r="O662" t="str">
        <f t="shared" si="30"/>
        <v>December</v>
      </c>
      <c r="P662">
        <f t="shared" si="31"/>
        <v>12</v>
      </c>
      <c r="Q662">
        <f t="shared" si="32"/>
        <v>2023</v>
      </c>
    </row>
    <row r="663" spans="1:17" x14ac:dyDescent="0.25">
      <c r="A663">
        <v>1007</v>
      </c>
      <c r="B663" s="1">
        <v>45024</v>
      </c>
      <c r="C663" t="s">
        <v>33</v>
      </c>
      <c r="D663" t="s">
        <v>34</v>
      </c>
      <c r="E663" s="4">
        <v>3758.78</v>
      </c>
      <c r="F663" s="2">
        <v>13</v>
      </c>
      <c r="G663" t="s">
        <v>29</v>
      </c>
      <c r="H663">
        <v>3597.2</v>
      </c>
      <c r="I663">
        <v>4071.8199999999902</v>
      </c>
      <c r="J663" t="s">
        <v>17</v>
      </c>
      <c r="K663" s="5">
        <v>0.28999999999999998</v>
      </c>
      <c r="L663" t="s">
        <v>27</v>
      </c>
      <c r="M663" t="s">
        <v>19</v>
      </c>
      <c r="N663" t="s">
        <v>36</v>
      </c>
      <c r="O663" t="str">
        <f t="shared" si="30"/>
        <v>April</v>
      </c>
      <c r="P663">
        <f t="shared" si="31"/>
        <v>4</v>
      </c>
      <c r="Q663">
        <f t="shared" si="32"/>
        <v>2023</v>
      </c>
    </row>
    <row r="664" spans="1:17" x14ac:dyDescent="0.25">
      <c r="A664">
        <v>1046</v>
      </c>
      <c r="B664" s="1">
        <v>45193</v>
      </c>
      <c r="C664" t="s">
        <v>33</v>
      </c>
      <c r="D664" t="s">
        <v>21</v>
      </c>
      <c r="E664" s="4">
        <v>4695.96</v>
      </c>
      <c r="F664" s="2">
        <v>41</v>
      </c>
      <c r="G664" t="s">
        <v>29</v>
      </c>
      <c r="H664">
        <v>1825.37</v>
      </c>
      <c r="I664">
        <v>2073.88</v>
      </c>
      <c r="J664" t="s">
        <v>17</v>
      </c>
      <c r="K664" s="5">
        <v>0.27</v>
      </c>
      <c r="L664" t="s">
        <v>18</v>
      </c>
      <c r="M664" t="s">
        <v>22</v>
      </c>
      <c r="N664" t="s">
        <v>37</v>
      </c>
      <c r="O664" t="str">
        <f t="shared" si="30"/>
        <v>September</v>
      </c>
      <c r="P664">
        <f t="shared" si="31"/>
        <v>9</v>
      </c>
      <c r="Q664">
        <f t="shared" si="32"/>
        <v>2023</v>
      </c>
    </row>
    <row r="665" spans="1:17" x14ac:dyDescent="0.25">
      <c r="A665">
        <v>1013</v>
      </c>
      <c r="B665" s="1">
        <v>45031</v>
      </c>
      <c r="C665" t="s">
        <v>38</v>
      </c>
      <c r="D665" t="s">
        <v>15</v>
      </c>
      <c r="E665" s="4">
        <v>7255.1</v>
      </c>
      <c r="F665" s="2">
        <v>42</v>
      </c>
      <c r="G665" t="s">
        <v>16</v>
      </c>
      <c r="H665">
        <v>1375.57</v>
      </c>
      <c r="I665">
        <v>1729.71</v>
      </c>
      <c r="J665" t="s">
        <v>30</v>
      </c>
      <c r="K665" s="5">
        <v>0.04</v>
      </c>
      <c r="L665" t="s">
        <v>18</v>
      </c>
      <c r="M665" t="s">
        <v>19</v>
      </c>
      <c r="N665" t="s">
        <v>40</v>
      </c>
      <c r="O665" t="str">
        <f t="shared" si="30"/>
        <v>April</v>
      </c>
      <c r="P665">
        <f t="shared" si="31"/>
        <v>4</v>
      </c>
      <c r="Q665">
        <f t="shared" si="32"/>
        <v>2023</v>
      </c>
    </row>
    <row r="666" spans="1:17" x14ac:dyDescent="0.25">
      <c r="A666">
        <v>1040</v>
      </c>
      <c r="B666" s="1">
        <v>45249</v>
      </c>
      <c r="C666" t="s">
        <v>24</v>
      </c>
      <c r="D666" t="s">
        <v>15</v>
      </c>
      <c r="E666" s="4">
        <v>6601.62</v>
      </c>
      <c r="F666" s="2">
        <v>47</v>
      </c>
      <c r="G666" t="s">
        <v>35</v>
      </c>
      <c r="H666">
        <v>2189.54</v>
      </c>
      <c r="I666">
        <v>2617</v>
      </c>
      <c r="J666" t="s">
        <v>30</v>
      </c>
      <c r="K666" s="5">
        <v>0.01</v>
      </c>
      <c r="L666" t="s">
        <v>27</v>
      </c>
      <c r="M666" t="s">
        <v>19</v>
      </c>
      <c r="N666" t="s">
        <v>45</v>
      </c>
      <c r="O666" t="str">
        <f t="shared" si="30"/>
        <v>November</v>
      </c>
      <c r="P666">
        <f t="shared" si="31"/>
        <v>11</v>
      </c>
      <c r="Q666">
        <f t="shared" si="32"/>
        <v>2023</v>
      </c>
    </row>
    <row r="667" spans="1:17" x14ac:dyDescent="0.25">
      <c r="A667">
        <v>1042</v>
      </c>
      <c r="B667" s="1">
        <v>45049</v>
      </c>
      <c r="C667" t="s">
        <v>42</v>
      </c>
      <c r="D667" t="s">
        <v>21</v>
      </c>
      <c r="E667" s="4">
        <v>7116.78</v>
      </c>
      <c r="F667" s="2">
        <v>37</v>
      </c>
      <c r="G667" t="s">
        <v>16</v>
      </c>
      <c r="H667">
        <v>502.86</v>
      </c>
      <c r="I667">
        <v>687.6</v>
      </c>
      <c r="J667" t="s">
        <v>17</v>
      </c>
      <c r="K667" s="5">
        <v>0.21</v>
      </c>
      <c r="L667" t="s">
        <v>18</v>
      </c>
      <c r="M667" t="s">
        <v>19</v>
      </c>
      <c r="N667" t="s">
        <v>51</v>
      </c>
      <c r="O667" t="str">
        <f t="shared" si="30"/>
        <v>May</v>
      </c>
      <c r="P667">
        <f t="shared" si="31"/>
        <v>5</v>
      </c>
      <c r="Q667">
        <f t="shared" si="32"/>
        <v>2023</v>
      </c>
    </row>
    <row r="668" spans="1:17" x14ac:dyDescent="0.25">
      <c r="A668">
        <v>1009</v>
      </c>
      <c r="B668" s="1">
        <v>44955</v>
      </c>
      <c r="C668" t="s">
        <v>38</v>
      </c>
      <c r="D668" t="s">
        <v>21</v>
      </c>
      <c r="E668" s="4">
        <v>182.8</v>
      </c>
      <c r="F668" s="2">
        <v>16</v>
      </c>
      <c r="G668" t="s">
        <v>29</v>
      </c>
      <c r="H668">
        <v>3745.69</v>
      </c>
      <c r="I668">
        <v>3883.77</v>
      </c>
      <c r="J668" t="s">
        <v>17</v>
      </c>
      <c r="K668" s="5">
        <v>0.18</v>
      </c>
      <c r="L668" t="s">
        <v>27</v>
      </c>
      <c r="M668" t="s">
        <v>22</v>
      </c>
      <c r="N668" t="s">
        <v>41</v>
      </c>
      <c r="O668" t="str">
        <f t="shared" si="30"/>
        <v>January</v>
      </c>
      <c r="P668">
        <f t="shared" si="31"/>
        <v>1</v>
      </c>
      <c r="Q668">
        <f t="shared" si="32"/>
        <v>2023</v>
      </c>
    </row>
    <row r="669" spans="1:17" x14ac:dyDescent="0.25">
      <c r="A669">
        <v>1050</v>
      </c>
      <c r="B669" s="1">
        <v>45063</v>
      </c>
      <c r="C669" t="s">
        <v>14</v>
      </c>
      <c r="D669" t="s">
        <v>15</v>
      </c>
      <c r="E669" s="4">
        <v>2254.91</v>
      </c>
      <c r="F669" s="2">
        <v>45</v>
      </c>
      <c r="G669" t="s">
        <v>16</v>
      </c>
      <c r="H669">
        <v>112.35</v>
      </c>
      <c r="I669">
        <v>586.17999999999995</v>
      </c>
      <c r="J669" t="s">
        <v>17</v>
      </c>
      <c r="K669" s="5">
        <v>0.28000000000000003</v>
      </c>
      <c r="L669" t="s">
        <v>31</v>
      </c>
      <c r="M669" t="s">
        <v>22</v>
      </c>
      <c r="N669" t="s">
        <v>20</v>
      </c>
      <c r="O669" t="str">
        <f t="shared" si="30"/>
        <v>May</v>
      </c>
      <c r="P669">
        <f t="shared" si="31"/>
        <v>5</v>
      </c>
      <c r="Q669">
        <f t="shared" si="32"/>
        <v>2023</v>
      </c>
    </row>
    <row r="670" spans="1:17" x14ac:dyDescent="0.25">
      <c r="A670">
        <v>1027</v>
      </c>
      <c r="B670" s="1">
        <v>45121</v>
      </c>
      <c r="C670" t="s">
        <v>14</v>
      </c>
      <c r="D670" t="s">
        <v>25</v>
      </c>
      <c r="E670" s="4">
        <v>6650.67</v>
      </c>
      <c r="F670" s="2">
        <v>22</v>
      </c>
      <c r="G670" t="s">
        <v>26</v>
      </c>
      <c r="H670">
        <v>3240.2</v>
      </c>
      <c r="I670">
        <v>3606.0899999999901</v>
      </c>
      <c r="J670" t="s">
        <v>30</v>
      </c>
      <c r="K670" s="5">
        <v>7.0000000000000007E-2</v>
      </c>
      <c r="L670" t="s">
        <v>18</v>
      </c>
      <c r="M670" t="s">
        <v>19</v>
      </c>
      <c r="N670" t="s">
        <v>32</v>
      </c>
      <c r="O670" t="str">
        <f t="shared" si="30"/>
        <v>July</v>
      </c>
      <c r="P670">
        <f t="shared" si="31"/>
        <v>7</v>
      </c>
      <c r="Q670">
        <f t="shared" si="32"/>
        <v>2023</v>
      </c>
    </row>
    <row r="671" spans="1:17" x14ac:dyDescent="0.25">
      <c r="A671">
        <v>1066</v>
      </c>
      <c r="B671" s="1">
        <v>45152</v>
      </c>
      <c r="C671" t="s">
        <v>42</v>
      </c>
      <c r="D671" t="s">
        <v>25</v>
      </c>
      <c r="E671" s="4">
        <v>4891.49</v>
      </c>
      <c r="F671" s="2">
        <v>20</v>
      </c>
      <c r="G671" t="s">
        <v>35</v>
      </c>
      <c r="H671">
        <v>955.18</v>
      </c>
      <c r="I671">
        <v>1072.82</v>
      </c>
      <c r="J671" t="s">
        <v>30</v>
      </c>
      <c r="K671" s="5">
        <v>0.03</v>
      </c>
      <c r="L671" t="s">
        <v>27</v>
      </c>
      <c r="M671" t="s">
        <v>22</v>
      </c>
      <c r="N671" t="s">
        <v>43</v>
      </c>
      <c r="O671" t="str">
        <f t="shared" si="30"/>
        <v>August</v>
      </c>
      <c r="P671">
        <f t="shared" si="31"/>
        <v>8</v>
      </c>
      <c r="Q671">
        <f t="shared" si="32"/>
        <v>2023</v>
      </c>
    </row>
    <row r="672" spans="1:17" x14ac:dyDescent="0.25">
      <c r="A672">
        <v>1005</v>
      </c>
      <c r="B672" s="1">
        <v>45258</v>
      </c>
      <c r="C672" t="s">
        <v>24</v>
      </c>
      <c r="D672" t="s">
        <v>21</v>
      </c>
      <c r="E672" s="4">
        <v>152.6</v>
      </c>
      <c r="F672" s="2">
        <v>43</v>
      </c>
      <c r="G672" t="s">
        <v>16</v>
      </c>
      <c r="H672">
        <v>1200.4000000000001</v>
      </c>
      <c r="I672">
        <v>1430.45</v>
      </c>
      <c r="J672" t="s">
        <v>30</v>
      </c>
      <c r="K672" s="5">
        <v>0.08</v>
      </c>
      <c r="L672" t="s">
        <v>27</v>
      </c>
      <c r="M672" t="s">
        <v>22</v>
      </c>
      <c r="N672" t="s">
        <v>47</v>
      </c>
      <c r="O672" t="str">
        <f t="shared" si="30"/>
        <v>November</v>
      </c>
      <c r="P672">
        <f t="shared" si="31"/>
        <v>11</v>
      </c>
      <c r="Q672">
        <f t="shared" si="32"/>
        <v>2023</v>
      </c>
    </row>
    <row r="673" spans="1:17" x14ac:dyDescent="0.25">
      <c r="A673">
        <v>1029</v>
      </c>
      <c r="B673" s="1">
        <v>45096</v>
      </c>
      <c r="C673" t="s">
        <v>38</v>
      </c>
      <c r="D673" t="s">
        <v>25</v>
      </c>
      <c r="E673" s="4">
        <v>8064.5</v>
      </c>
      <c r="F673" s="2">
        <v>27</v>
      </c>
      <c r="G673" t="s">
        <v>26</v>
      </c>
      <c r="H673">
        <v>3196.38</v>
      </c>
      <c r="I673">
        <v>3596.64</v>
      </c>
      <c r="J673" t="s">
        <v>30</v>
      </c>
      <c r="K673" s="5">
        <v>0.01</v>
      </c>
      <c r="L673" t="s">
        <v>18</v>
      </c>
      <c r="M673" t="s">
        <v>22</v>
      </c>
      <c r="N673" t="s">
        <v>39</v>
      </c>
      <c r="O673" t="str">
        <f t="shared" si="30"/>
        <v>June</v>
      </c>
      <c r="P673">
        <f t="shared" si="31"/>
        <v>6</v>
      </c>
      <c r="Q673">
        <f t="shared" si="32"/>
        <v>2023</v>
      </c>
    </row>
    <row r="674" spans="1:17" x14ac:dyDescent="0.25">
      <c r="A674">
        <v>1037</v>
      </c>
      <c r="B674" s="1">
        <v>44935</v>
      </c>
      <c r="C674" t="s">
        <v>33</v>
      </c>
      <c r="D674" t="s">
        <v>15</v>
      </c>
      <c r="E674" s="4">
        <v>7750.81</v>
      </c>
      <c r="F674" s="2">
        <v>41</v>
      </c>
      <c r="G674" t="s">
        <v>29</v>
      </c>
      <c r="H674">
        <v>4965.07</v>
      </c>
      <c r="I674">
        <v>5243.13</v>
      </c>
      <c r="J674" t="s">
        <v>30</v>
      </c>
      <c r="K674" s="5">
        <v>0.01</v>
      </c>
      <c r="L674" t="s">
        <v>31</v>
      </c>
      <c r="M674" t="s">
        <v>19</v>
      </c>
      <c r="N674" t="s">
        <v>53</v>
      </c>
      <c r="O674" t="str">
        <f t="shared" si="30"/>
        <v>January</v>
      </c>
      <c r="P674">
        <f t="shared" si="31"/>
        <v>1</v>
      </c>
      <c r="Q674">
        <f t="shared" si="32"/>
        <v>2023</v>
      </c>
    </row>
    <row r="675" spans="1:17" x14ac:dyDescent="0.25">
      <c r="A675">
        <v>1038</v>
      </c>
      <c r="B675" s="1">
        <v>44966</v>
      </c>
      <c r="C675" t="s">
        <v>42</v>
      </c>
      <c r="D675" t="s">
        <v>34</v>
      </c>
      <c r="E675" s="4">
        <v>5529.35</v>
      </c>
      <c r="F675" s="2">
        <v>16</v>
      </c>
      <c r="G675" t="s">
        <v>16</v>
      </c>
      <c r="H675">
        <v>3899.7</v>
      </c>
      <c r="I675">
        <v>4228.18</v>
      </c>
      <c r="J675" t="s">
        <v>30</v>
      </c>
      <c r="K675" s="5">
        <v>0.27</v>
      </c>
      <c r="L675" t="s">
        <v>18</v>
      </c>
      <c r="M675" t="s">
        <v>22</v>
      </c>
      <c r="N675" t="s">
        <v>52</v>
      </c>
      <c r="O675" t="str">
        <f t="shared" si="30"/>
        <v>February</v>
      </c>
      <c r="P675">
        <f t="shared" si="31"/>
        <v>2</v>
      </c>
      <c r="Q675">
        <f t="shared" si="32"/>
        <v>2023</v>
      </c>
    </row>
    <row r="676" spans="1:17" x14ac:dyDescent="0.25">
      <c r="A676">
        <v>1083</v>
      </c>
      <c r="B676" s="1">
        <v>44951</v>
      </c>
      <c r="C676" t="s">
        <v>24</v>
      </c>
      <c r="D676" t="s">
        <v>34</v>
      </c>
      <c r="E676" s="4">
        <v>757.99</v>
      </c>
      <c r="F676" s="2">
        <v>34</v>
      </c>
      <c r="G676" t="s">
        <v>29</v>
      </c>
      <c r="H676">
        <v>1167.9100000000001</v>
      </c>
      <c r="I676">
        <v>1547.26</v>
      </c>
      <c r="J676" t="s">
        <v>30</v>
      </c>
      <c r="K676" s="5">
        <v>0.11</v>
      </c>
      <c r="L676" t="s">
        <v>27</v>
      </c>
      <c r="M676" t="s">
        <v>19</v>
      </c>
      <c r="N676" t="s">
        <v>50</v>
      </c>
      <c r="O676" t="str">
        <f t="shared" si="30"/>
        <v>January</v>
      </c>
      <c r="P676">
        <f t="shared" si="31"/>
        <v>1</v>
      </c>
      <c r="Q676">
        <f t="shared" si="32"/>
        <v>2023</v>
      </c>
    </row>
    <row r="677" spans="1:17" x14ac:dyDescent="0.25">
      <c r="A677">
        <v>1008</v>
      </c>
      <c r="B677" s="1">
        <v>45187</v>
      </c>
      <c r="C677" t="s">
        <v>33</v>
      </c>
      <c r="D677" t="s">
        <v>25</v>
      </c>
      <c r="E677" s="4">
        <v>7688.5</v>
      </c>
      <c r="F677" s="2">
        <v>32</v>
      </c>
      <c r="G677" t="s">
        <v>26</v>
      </c>
      <c r="H677">
        <v>921.32</v>
      </c>
      <c r="I677">
        <v>1236.0999999999999</v>
      </c>
      <c r="J677" t="s">
        <v>30</v>
      </c>
      <c r="K677" s="5">
        <v>0.12</v>
      </c>
      <c r="L677" t="s">
        <v>31</v>
      </c>
      <c r="M677" t="s">
        <v>19</v>
      </c>
      <c r="N677" t="s">
        <v>44</v>
      </c>
      <c r="O677" t="str">
        <f t="shared" si="30"/>
        <v>September</v>
      </c>
      <c r="P677">
        <f t="shared" si="31"/>
        <v>9</v>
      </c>
      <c r="Q677">
        <f t="shared" si="32"/>
        <v>2023</v>
      </c>
    </row>
    <row r="678" spans="1:17" x14ac:dyDescent="0.25">
      <c r="A678">
        <v>1065</v>
      </c>
      <c r="B678" s="1">
        <v>45152</v>
      </c>
      <c r="C678" t="s">
        <v>14</v>
      </c>
      <c r="D678" t="s">
        <v>21</v>
      </c>
      <c r="E678" s="4">
        <v>5878.76</v>
      </c>
      <c r="F678" s="2">
        <v>26</v>
      </c>
      <c r="G678" t="s">
        <v>29</v>
      </c>
      <c r="H678">
        <v>4337.8500000000004</v>
      </c>
      <c r="I678">
        <v>4612.49</v>
      </c>
      <c r="J678" t="s">
        <v>17</v>
      </c>
      <c r="K678" s="5">
        <v>0.01</v>
      </c>
      <c r="L678" t="s">
        <v>18</v>
      </c>
      <c r="M678" t="s">
        <v>22</v>
      </c>
      <c r="N678" t="s">
        <v>23</v>
      </c>
      <c r="O678" t="str">
        <f t="shared" si="30"/>
        <v>August</v>
      </c>
      <c r="P678">
        <f t="shared" si="31"/>
        <v>8</v>
      </c>
      <c r="Q678">
        <f t="shared" si="32"/>
        <v>2023</v>
      </c>
    </row>
    <row r="679" spans="1:17" x14ac:dyDescent="0.25">
      <c r="A679">
        <v>1086</v>
      </c>
      <c r="B679" s="1">
        <v>45050</v>
      </c>
      <c r="C679" t="s">
        <v>14</v>
      </c>
      <c r="D679" t="s">
        <v>21</v>
      </c>
      <c r="E679" s="4">
        <v>7841.4</v>
      </c>
      <c r="F679" s="2">
        <v>25</v>
      </c>
      <c r="G679" t="s">
        <v>26</v>
      </c>
      <c r="H679">
        <v>2248.71</v>
      </c>
      <c r="I679">
        <v>2626.02</v>
      </c>
      <c r="J679" t="s">
        <v>30</v>
      </c>
      <c r="K679" s="5">
        <v>0.08</v>
      </c>
      <c r="L679" t="s">
        <v>27</v>
      </c>
      <c r="M679" t="s">
        <v>19</v>
      </c>
      <c r="N679" t="s">
        <v>23</v>
      </c>
      <c r="O679" t="str">
        <f t="shared" si="30"/>
        <v>May</v>
      </c>
      <c r="P679">
        <f t="shared" si="31"/>
        <v>5</v>
      </c>
      <c r="Q679">
        <f t="shared" si="32"/>
        <v>2023</v>
      </c>
    </row>
    <row r="680" spans="1:17" x14ac:dyDescent="0.25">
      <c r="A680">
        <v>1017</v>
      </c>
      <c r="B680" s="1">
        <v>44964</v>
      </c>
      <c r="C680" t="s">
        <v>33</v>
      </c>
      <c r="D680" t="s">
        <v>21</v>
      </c>
      <c r="E680" s="4">
        <v>7542.3</v>
      </c>
      <c r="F680" s="2">
        <v>2</v>
      </c>
      <c r="G680" t="s">
        <v>26</v>
      </c>
      <c r="H680">
        <v>728.41</v>
      </c>
      <c r="I680">
        <v>1094.92</v>
      </c>
      <c r="J680" t="s">
        <v>30</v>
      </c>
      <c r="K680" s="5">
        <v>0.24</v>
      </c>
      <c r="L680" t="s">
        <v>18</v>
      </c>
      <c r="M680" t="s">
        <v>22</v>
      </c>
      <c r="N680" t="s">
        <v>37</v>
      </c>
      <c r="O680" t="str">
        <f t="shared" si="30"/>
        <v>February</v>
      </c>
      <c r="P680">
        <f t="shared" si="31"/>
        <v>2</v>
      </c>
      <c r="Q680">
        <f t="shared" si="32"/>
        <v>2023</v>
      </c>
    </row>
    <row r="681" spans="1:17" x14ac:dyDescent="0.25">
      <c r="A681">
        <v>1071</v>
      </c>
      <c r="B681" s="1">
        <v>45254</v>
      </c>
      <c r="C681" t="s">
        <v>42</v>
      </c>
      <c r="D681" t="s">
        <v>21</v>
      </c>
      <c r="E681" s="4">
        <v>8049.72</v>
      </c>
      <c r="F681" s="2">
        <v>12</v>
      </c>
      <c r="G681" t="s">
        <v>26</v>
      </c>
      <c r="H681">
        <v>4317.95</v>
      </c>
      <c r="I681">
        <v>4636.59</v>
      </c>
      <c r="J681" t="s">
        <v>30</v>
      </c>
      <c r="K681" s="5">
        <v>0.18</v>
      </c>
      <c r="L681" t="s">
        <v>31</v>
      </c>
      <c r="M681" t="s">
        <v>22</v>
      </c>
      <c r="N681" t="s">
        <v>51</v>
      </c>
      <c r="O681" t="str">
        <f t="shared" si="30"/>
        <v>November</v>
      </c>
      <c r="P681">
        <f t="shared" si="31"/>
        <v>11</v>
      </c>
      <c r="Q681">
        <f t="shared" si="32"/>
        <v>2023</v>
      </c>
    </row>
    <row r="682" spans="1:17" x14ac:dyDescent="0.25">
      <c r="A682">
        <v>1089</v>
      </c>
      <c r="B682" s="1">
        <v>45177</v>
      </c>
      <c r="C682" t="s">
        <v>14</v>
      </c>
      <c r="D682" t="s">
        <v>21</v>
      </c>
      <c r="E682" s="4">
        <v>5228.28</v>
      </c>
      <c r="F682" s="2">
        <v>40</v>
      </c>
      <c r="G682" t="s">
        <v>16</v>
      </c>
      <c r="H682">
        <v>4089.66</v>
      </c>
      <c r="I682">
        <v>4275.96</v>
      </c>
      <c r="J682" t="s">
        <v>30</v>
      </c>
      <c r="K682" s="5">
        <v>0.23</v>
      </c>
      <c r="L682" t="s">
        <v>31</v>
      </c>
      <c r="M682" t="s">
        <v>19</v>
      </c>
      <c r="N682" t="s">
        <v>23</v>
      </c>
      <c r="O682" t="str">
        <f t="shared" si="30"/>
        <v>September</v>
      </c>
      <c r="P682">
        <f t="shared" si="31"/>
        <v>9</v>
      </c>
      <c r="Q682">
        <f t="shared" si="32"/>
        <v>2023</v>
      </c>
    </row>
    <row r="683" spans="1:17" x14ac:dyDescent="0.25">
      <c r="A683">
        <v>1045</v>
      </c>
      <c r="B683" s="1">
        <v>45102</v>
      </c>
      <c r="C683" t="s">
        <v>38</v>
      </c>
      <c r="D683" t="s">
        <v>25</v>
      </c>
      <c r="E683" s="4">
        <v>1489.21</v>
      </c>
      <c r="F683" s="2">
        <v>9</v>
      </c>
      <c r="G683" t="s">
        <v>29</v>
      </c>
      <c r="H683">
        <v>4920.34</v>
      </c>
      <c r="I683">
        <v>5129.1899999999996</v>
      </c>
      <c r="J683" t="s">
        <v>17</v>
      </c>
      <c r="K683" s="5">
        <v>0.13</v>
      </c>
      <c r="L683" t="s">
        <v>31</v>
      </c>
      <c r="M683" t="s">
        <v>19</v>
      </c>
      <c r="N683" t="s">
        <v>39</v>
      </c>
      <c r="O683" t="str">
        <f t="shared" si="30"/>
        <v>June</v>
      </c>
      <c r="P683">
        <f t="shared" si="31"/>
        <v>6</v>
      </c>
      <c r="Q683">
        <f t="shared" si="32"/>
        <v>2023</v>
      </c>
    </row>
    <row r="684" spans="1:17" x14ac:dyDescent="0.25">
      <c r="A684">
        <v>1004</v>
      </c>
      <c r="B684" s="1">
        <v>45016</v>
      </c>
      <c r="C684" t="s">
        <v>33</v>
      </c>
      <c r="D684" t="s">
        <v>34</v>
      </c>
      <c r="E684" s="4">
        <v>6744.46</v>
      </c>
      <c r="F684" s="2">
        <v>12</v>
      </c>
      <c r="G684" t="s">
        <v>29</v>
      </c>
      <c r="H684">
        <v>4553.2299999999996</v>
      </c>
      <c r="I684">
        <v>5038.74</v>
      </c>
      <c r="J684" t="s">
        <v>30</v>
      </c>
      <c r="K684" s="5">
        <v>0.09</v>
      </c>
      <c r="L684" t="s">
        <v>31</v>
      </c>
      <c r="M684" t="s">
        <v>22</v>
      </c>
      <c r="N684" t="s">
        <v>36</v>
      </c>
      <c r="O684" t="str">
        <f t="shared" si="30"/>
        <v>March</v>
      </c>
      <c r="P684">
        <f t="shared" si="31"/>
        <v>3</v>
      </c>
      <c r="Q684">
        <f t="shared" si="32"/>
        <v>2023</v>
      </c>
    </row>
    <row r="685" spans="1:17" x14ac:dyDescent="0.25">
      <c r="A685">
        <v>1036</v>
      </c>
      <c r="B685" s="1">
        <v>44963</v>
      </c>
      <c r="C685" t="s">
        <v>33</v>
      </c>
      <c r="D685" t="s">
        <v>34</v>
      </c>
      <c r="E685" s="4">
        <v>6242.69</v>
      </c>
      <c r="F685" s="2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 s="5">
        <v>0.14000000000000001</v>
      </c>
      <c r="L685" t="s">
        <v>31</v>
      </c>
      <c r="M685" t="s">
        <v>22</v>
      </c>
      <c r="N685" t="s">
        <v>36</v>
      </c>
      <c r="O685" t="str">
        <f t="shared" si="30"/>
        <v>February</v>
      </c>
      <c r="P685">
        <f t="shared" si="31"/>
        <v>2</v>
      </c>
      <c r="Q685">
        <f t="shared" si="32"/>
        <v>2023</v>
      </c>
    </row>
    <row r="686" spans="1:17" x14ac:dyDescent="0.25">
      <c r="A686">
        <v>1070</v>
      </c>
      <c r="B686" s="1">
        <v>45242</v>
      </c>
      <c r="C686" t="s">
        <v>14</v>
      </c>
      <c r="D686" t="s">
        <v>25</v>
      </c>
      <c r="E686" s="4">
        <v>7448.31</v>
      </c>
      <c r="F686" s="2">
        <v>9</v>
      </c>
      <c r="G686" t="s">
        <v>35</v>
      </c>
      <c r="H686">
        <v>310.24</v>
      </c>
      <c r="I686">
        <v>451.81</v>
      </c>
      <c r="J686" t="s">
        <v>17</v>
      </c>
      <c r="K686" s="5">
        <v>0.1</v>
      </c>
      <c r="L686" t="s">
        <v>18</v>
      </c>
      <c r="M686" t="s">
        <v>22</v>
      </c>
      <c r="N686" t="s">
        <v>32</v>
      </c>
      <c r="O686" t="str">
        <f t="shared" si="30"/>
        <v>November</v>
      </c>
      <c r="P686">
        <f t="shared" si="31"/>
        <v>11</v>
      </c>
      <c r="Q686">
        <f t="shared" si="32"/>
        <v>2023</v>
      </c>
    </row>
    <row r="687" spans="1:17" x14ac:dyDescent="0.25">
      <c r="A687">
        <v>1031</v>
      </c>
      <c r="B687" s="1">
        <v>45102</v>
      </c>
      <c r="C687" t="s">
        <v>42</v>
      </c>
      <c r="D687" t="s">
        <v>21</v>
      </c>
      <c r="E687" s="4">
        <v>1781.82</v>
      </c>
      <c r="F687" s="2">
        <v>10</v>
      </c>
      <c r="G687" t="s">
        <v>35</v>
      </c>
      <c r="H687">
        <v>566.86</v>
      </c>
      <c r="I687">
        <v>818.14</v>
      </c>
      <c r="J687" t="s">
        <v>17</v>
      </c>
      <c r="K687" s="5">
        <v>0.25</v>
      </c>
      <c r="L687" t="s">
        <v>31</v>
      </c>
      <c r="M687" t="s">
        <v>22</v>
      </c>
      <c r="N687" t="s">
        <v>51</v>
      </c>
      <c r="O687" t="str">
        <f t="shared" si="30"/>
        <v>June</v>
      </c>
      <c r="P687">
        <f t="shared" si="31"/>
        <v>6</v>
      </c>
      <c r="Q687">
        <f t="shared" si="32"/>
        <v>2023</v>
      </c>
    </row>
    <row r="688" spans="1:17" x14ac:dyDescent="0.25">
      <c r="A688">
        <v>1019</v>
      </c>
      <c r="B688" s="1">
        <v>45210</v>
      </c>
      <c r="C688" t="s">
        <v>38</v>
      </c>
      <c r="D688" t="s">
        <v>25</v>
      </c>
      <c r="E688" s="4">
        <v>2030.25</v>
      </c>
      <c r="F688" s="2">
        <v>32</v>
      </c>
      <c r="G688" t="s">
        <v>35</v>
      </c>
      <c r="H688">
        <v>2866.47</v>
      </c>
      <c r="I688">
        <v>3286.47</v>
      </c>
      <c r="J688" t="s">
        <v>30</v>
      </c>
      <c r="K688" s="5">
        <v>0.09</v>
      </c>
      <c r="L688" t="s">
        <v>31</v>
      </c>
      <c r="M688" t="s">
        <v>19</v>
      </c>
      <c r="N688" t="s">
        <v>39</v>
      </c>
      <c r="O688" t="str">
        <f t="shared" si="30"/>
        <v>October</v>
      </c>
      <c r="P688">
        <f t="shared" si="31"/>
        <v>10</v>
      </c>
      <c r="Q688">
        <f t="shared" si="32"/>
        <v>2023</v>
      </c>
    </row>
    <row r="689" spans="1:17" x14ac:dyDescent="0.25">
      <c r="A689">
        <v>1061</v>
      </c>
      <c r="B689" s="1">
        <v>45007</v>
      </c>
      <c r="C689" t="s">
        <v>42</v>
      </c>
      <c r="D689" t="s">
        <v>34</v>
      </c>
      <c r="E689" s="4">
        <v>8915.0499999999993</v>
      </c>
      <c r="F689" s="2">
        <v>34</v>
      </c>
      <c r="G689" t="s">
        <v>29</v>
      </c>
      <c r="H689">
        <v>2680.82</v>
      </c>
      <c r="I689">
        <v>2771.02</v>
      </c>
      <c r="J689" t="s">
        <v>30</v>
      </c>
      <c r="K689" s="5">
        <v>0.2</v>
      </c>
      <c r="L689" t="s">
        <v>27</v>
      </c>
      <c r="M689" t="s">
        <v>19</v>
      </c>
      <c r="N689" t="s">
        <v>52</v>
      </c>
      <c r="O689" t="str">
        <f t="shared" si="30"/>
        <v>March</v>
      </c>
      <c r="P689">
        <f t="shared" si="31"/>
        <v>3</v>
      </c>
      <c r="Q689">
        <f t="shared" si="32"/>
        <v>2023</v>
      </c>
    </row>
    <row r="690" spans="1:17" x14ac:dyDescent="0.25">
      <c r="A690">
        <v>1054</v>
      </c>
      <c r="B690" s="1">
        <v>45040</v>
      </c>
      <c r="C690" t="s">
        <v>24</v>
      </c>
      <c r="D690" t="s">
        <v>15</v>
      </c>
      <c r="E690" s="4">
        <v>7524.78</v>
      </c>
      <c r="F690" s="2">
        <v>48</v>
      </c>
      <c r="G690" t="s">
        <v>26</v>
      </c>
      <c r="H690">
        <v>2316.92</v>
      </c>
      <c r="I690">
        <v>2462.63</v>
      </c>
      <c r="J690" t="s">
        <v>30</v>
      </c>
      <c r="K690" s="5">
        <v>0.04</v>
      </c>
      <c r="L690" t="s">
        <v>31</v>
      </c>
      <c r="M690" t="s">
        <v>19</v>
      </c>
      <c r="N690" t="s">
        <v>45</v>
      </c>
      <c r="O690" t="str">
        <f t="shared" si="30"/>
        <v>April</v>
      </c>
      <c r="P690">
        <f t="shared" si="31"/>
        <v>4</v>
      </c>
      <c r="Q690">
        <f t="shared" si="32"/>
        <v>2023</v>
      </c>
    </row>
    <row r="691" spans="1:17" x14ac:dyDescent="0.25">
      <c r="A691">
        <v>1039</v>
      </c>
      <c r="B691" s="1">
        <v>44966</v>
      </c>
      <c r="C691" t="s">
        <v>24</v>
      </c>
      <c r="D691" t="s">
        <v>25</v>
      </c>
      <c r="E691" s="4">
        <v>9091.4599999999991</v>
      </c>
      <c r="F691" s="2">
        <v>20</v>
      </c>
      <c r="G691" t="s">
        <v>26</v>
      </c>
      <c r="H691">
        <v>2014.11</v>
      </c>
      <c r="I691">
        <v>2056.35</v>
      </c>
      <c r="J691" t="s">
        <v>17</v>
      </c>
      <c r="K691" s="5">
        <v>0.21</v>
      </c>
      <c r="L691" t="s">
        <v>27</v>
      </c>
      <c r="M691" t="s">
        <v>22</v>
      </c>
      <c r="N691" t="s">
        <v>28</v>
      </c>
      <c r="O691" t="str">
        <f t="shared" si="30"/>
        <v>February</v>
      </c>
      <c r="P691">
        <f t="shared" si="31"/>
        <v>2</v>
      </c>
      <c r="Q691">
        <f t="shared" si="32"/>
        <v>2023</v>
      </c>
    </row>
    <row r="692" spans="1:17" x14ac:dyDescent="0.25">
      <c r="A692">
        <v>1091</v>
      </c>
      <c r="B692" s="1">
        <v>45227</v>
      </c>
      <c r="C692" t="s">
        <v>14</v>
      </c>
      <c r="D692" t="s">
        <v>21</v>
      </c>
      <c r="E692" s="4">
        <v>7611.28</v>
      </c>
      <c r="F692" s="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 s="5">
        <v>0.27</v>
      </c>
      <c r="L692" t="s">
        <v>27</v>
      </c>
      <c r="M692" t="s">
        <v>19</v>
      </c>
      <c r="N692" t="s">
        <v>23</v>
      </c>
      <c r="O692" t="str">
        <f t="shared" si="30"/>
        <v>October</v>
      </c>
      <c r="P692">
        <f t="shared" si="31"/>
        <v>10</v>
      </c>
      <c r="Q692">
        <f t="shared" si="32"/>
        <v>2023</v>
      </c>
    </row>
    <row r="693" spans="1:17" x14ac:dyDescent="0.25">
      <c r="A693">
        <v>1074</v>
      </c>
      <c r="B693" s="1">
        <v>45150</v>
      </c>
      <c r="C693" t="s">
        <v>14</v>
      </c>
      <c r="D693" t="s">
        <v>34</v>
      </c>
      <c r="E693" s="4">
        <v>6011.84</v>
      </c>
      <c r="F693" s="2">
        <v>2</v>
      </c>
      <c r="G693" t="s">
        <v>26</v>
      </c>
      <c r="H693">
        <v>2868.02</v>
      </c>
      <c r="I693">
        <v>2994.74</v>
      </c>
      <c r="J693" t="s">
        <v>17</v>
      </c>
      <c r="K693" s="5">
        <v>0.18</v>
      </c>
      <c r="L693" t="s">
        <v>27</v>
      </c>
      <c r="M693" t="s">
        <v>19</v>
      </c>
      <c r="N693" t="s">
        <v>46</v>
      </c>
      <c r="O693" t="str">
        <f t="shared" si="30"/>
        <v>August</v>
      </c>
      <c r="P693">
        <f t="shared" si="31"/>
        <v>8</v>
      </c>
      <c r="Q693">
        <f t="shared" si="32"/>
        <v>2023</v>
      </c>
    </row>
    <row r="694" spans="1:17" x14ac:dyDescent="0.25">
      <c r="A694">
        <v>1090</v>
      </c>
      <c r="B694" s="1">
        <v>45244</v>
      </c>
      <c r="C694" t="s">
        <v>14</v>
      </c>
      <c r="D694" t="s">
        <v>34</v>
      </c>
      <c r="E694" s="4">
        <v>6575.91</v>
      </c>
      <c r="F694" s="2">
        <v>1</v>
      </c>
      <c r="G694" t="s">
        <v>29</v>
      </c>
      <c r="H694">
        <v>60.28</v>
      </c>
      <c r="I694">
        <v>260.73</v>
      </c>
      <c r="J694" t="s">
        <v>17</v>
      </c>
      <c r="K694" s="5">
        <v>0.17</v>
      </c>
      <c r="L694" t="s">
        <v>18</v>
      </c>
      <c r="M694" t="s">
        <v>19</v>
      </c>
      <c r="N694" t="s">
        <v>46</v>
      </c>
      <c r="O694" t="str">
        <f t="shared" si="30"/>
        <v>November</v>
      </c>
      <c r="P694">
        <f t="shared" si="31"/>
        <v>11</v>
      </c>
      <c r="Q694">
        <f t="shared" si="32"/>
        <v>2023</v>
      </c>
    </row>
    <row r="695" spans="1:17" x14ac:dyDescent="0.25">
      <c r="A695">
        <v>1019</v>
      </c>
      <c r="B695" s="1">
        <v>45275</v>
      </c>
      <c r="C695" t="s">
        <v>24</v>
      </c>
      <c r="D695" t="s">
        <v>34</v>
      </c>
      <c r="E695" s="4">
        <v>8902.3700000000008</v>
      </c>
      <c r="F695" s="2">
        <v>36</v>
      </c>
      <c r="G695" t="s">
        <v>29</v>
      </c>
      <c r="H695">
        <v>1340.51</v>
      </c>
      <c r="I695">
        <v>1567.92</v>
      </c>
      <c r="J695" t="s">
        <v>30</v>
      </c>
      <c r="K695" s="5">
        <v>0.28999999999999998</v>
      </c>
      <c r="L695" t="s">
        <v>18</v>
      </c>
      <c r="M695" t="s">
        <v>19</v>
      </c>
      <c r="N695" t="s">
        <v>50</v>
      </c>
      <c r="O695" t="str">
        <f t="shared" si="30"/>
        <v>December</v>
      </c>
      <c r="P695">
        <f t="shared" si="31"/>
        <v>12</v>
      </c>
      <c r="Q695">
        <f t="shared" si="32"/>
        <v>2023</v>
      </c>
    </row>
    <row r="696" spans="1:17" x14ac:dyDescent="0.25">
      <c r="A696">
        <v>1039</v>
      </c>
      <c r="B696" s="1">
        <v>45041</v>
      </c>
      <c r="C696" t="s">
        <v>42</v>
      </c>
      <c r="D696" t="s">
        <v>34</v>
      </c>
      <c r="E696" s="4">
        <v>5830.19</v>
      </c>
      <c r="F696" s="2">
        <v>24</v>
      </c>
      <c r="G696" t="s">
        <v>29</v>
      </c>
      <c r="H696">
        <v>2615.48</v>
      </c>
      <c r="I696">
        <v>3062.22</v>
      </c>
      <c r="J696" t="s">
        <v>30</v>
      </c>
      <c r="K696" s="5">
        <v>0.19</v>
      </c>
      <c r="L696" t="s">
        <v>27</v>
      </c>
      <c r="M696" t="s">
        <v>22</v>
      </c>
      <c r="N696" t="s">
        <v>52</v>
      </c>
      <c r="O696" t="str">
        <f t="shared" si="30"/>
        <v>April</v>
      </c>
      <c r="P696">
        <f t="shared" si="31"/>
        <v>4</v>
      </c>
      <c r="Q696">
        <f t="shared" si="32"/>
        <v>2023</v>
      </c>
    </row>
    <row r="697" spans="1:17" x14ac:dyDescent="0.25">
      <c r="A697">
        <v>1067</v>
      </c>
      <c r="B697" s="1">
        <v>45112</v>
      </c>
      <c r="C697" t="s">
        <v>42</v>
      </c>
      <c r="D697" t="s">
        <v>21</v>
      </c>
      <c r="E697" s="4">
        <v>6360.67</v>
      </c>
      <c r="F697" s="2">
        <v>27</v>
      </c>
      <c r="G697" t="s">
        <v>16</v>
      </c>
      <c r="H697">
        <v>3624.97</v>
      </c>
      <c r="I697">
        <v>3836.52</v>
      </c>
      <c r="J697" t="s">
        <v>30</v>
      </c>
      <c r="K697" s="5">
        <v>0.08</v>
      </c>
      <c r="L697" t="s">
        <v>18</v>
      </c>
      <c r="M697" t="s">
        <v>19</v>
      </c>
      <c r="N697" t="s">
        <v>51</v>
      </c>
      <c r="O697" t="str">
        <f t="shared" si="30"/>
        <v>July</v>
      </c>
      <c r="P697">
        <f t="shared" si="31"/>
        <v>7</v>
      </c>
      <c r="Q697">
        <f t="shared" si="32"/>
        <v>2023</v>
      </c>
    </row>
    <row r="698" spans="1:17" x14ac:dyDescent="0.25">
      <c r="A698">
        <v>1045</v>
      </c>
      <c r="B698" s="1">
        <v>45249</v>
      </c>
      <c r="C698" t="s">
        <v>14</v>
      </c>
      <c r="D698" t="s">
        <v>15</v>
      </c>
      <c r="E698" s="4">
        <v>1649.12</v>
      </c>
      <c r="F698" s="2">
        <v>2</v>
      </c>
      <c r="G698" t="s">
        <v>35</v>
      </c>
      <c r="H698">
        <v>912.08</v>
      </c>
      <c r="I698">
        <v>993.24</v>
      </c>
      <c r="J698" t="s">
        <v>17</v>
      </c>
      <c r="K698" s="5">
        <v>0.09</v>
      </c>
      <c r="L698" t="s">
        <v>31</v>
      </c>
      <c r="M698" t="s">
        <v>19</v>
      </c>
      <c r="N698" t="s">
        <v>20</v>
      </c>
      <c r="O698" t="str">
        <f t="shared" si="30"/>
        <v>November</v>
      </c>
      <c r="P698">
        <f t="shared" si="31"/>
        <v>11</v>
      </c>
      <c r="Q698">
        <f t="shared" si="32"/>
        <v>2023</v>
      </c>
    </row>
    <row r="699" spans="1:17" x14ac:dyDescent="0.25">
      <c r="A699">
        <v>1013</v>
      </c>
      <c r="B699" s="1">
        <v>44982</v>
      </c>
      <c r="C699" t="s">
        <v>38</v>
      </c>
      <c r="D699" t="s">
        <v>34</v>
      </c>
      <c r="E699" s="4">
        <v>4791.82</v>
      </c>
      <c r="F699" s="2">
        <v>31</v>
      </c>
      <c r="G699" t="s">
        <v>26</v>
      </c>
      <c r="H699">
        <v>2757.06</v>
      </c>
      <c r="I699">
        <v>3023.97</v>
      </c>
      <c r="J699" t="s">
        <v>17</v>
      </c>
      <c r="K699" s="5">
        <v>0.21</v>
      </c>
      <c r="L699" t="s">
        <v>18</v>
      </c>
      <c r="M699" t="s">
        <v>19</v>
      </c>
      <c r="N699" t="s">
        <v>48</v>
      </c>
      <c r="O699" t="str">
        <f t="shared" si="30"/>
        <v>February</v>
      </c>
      <c r="P699">
        <f t="shared" si="31"/>
        <v>2</v>
      </c>
      <c r="Q699">
        <f t="shared" si="32"/>
        <v>2023</v>
      </c>
    </row>
    <row r="700" spans="1:17" x14ac:dyDescent="0.25">
      <c r="A700">
        <v>1092</v>
      </c>
      <c r="B700" s="1">
        <v>44966</v>
      </c>
      <c r="C700" t="s">
        <v>42</v>
      </c>
      <c r="D700" t="s">
        <v>25</v>
      </c>
      <c r="E700" s="4">
        <v>7192.33</v>
      </c>
      <c r="F700" s="2">
        <v>14</v>
      </c>
      <c r="G700" t="s">
        <v>29</v>
      </c>
      <c r="H700">
        <v>3586.58</v>
      </c>
      <c r="I700">
        <v>4068.43</v>
      </c>
      <c r="J700" t="s">
        <v>30</v>
      </c>
      <c r="K700" s="5">
        <v>0.22</v>
      </c>
      <c r="L700" t="s">
        <v>31</v>
      </c>
      <c r="M700" t="s">
        <v>19</v>
      </c>
      <c r="N700" t="s">
        <v>43</v>
      </c>
      <c r="O700" t="str">
        <f t="shared" si="30"/>
        <v>February</v>
      </c>
      <c r="P700">
        <f t="shared" si="31"/>
        <v>2</v>
      </c>
      <c r="Q700">
        <f t="shared" si="32"/>
        <v>2023</v>
      </c>
    </row>
    <row r="701" spans="1:17" x14ac:dyDescent="0.25">
      <c r="A701">
        <v>1058</v>
      </c>
      <c r="B701" s="1">
        <v>45280</v>
      </c>
      <c r="C701" t="s">
        <v>24</v>
      </c>
      <c r="D701" t="s">
        <v>15</v>
      </c>
      <c r="E701" s="4">
        <v>2782.33</v>
      </c>
      <c r="F701" s="2">
        <v>2</v>
      </c>
      <c r="G701" t="s">
        <v>29</v>
      </c>
      <c r="H701">
        <v>2250.91</v>
      </c>
      <c r="I701">
        <v>2558.6799999999998</v>
      </c>
      <c r="J701" t="s">
        <v>30</v>
      </c>
      <c r="K701" s="5">
        <v>0.09</v>
      </c>
      <c r="L701" t="s">
        <v>31</v>
      </c>
      <c r="M701" t="s">
        <v>22</v>
      </c>
      <c r="N701" t="s">
        <v>45</v>
      </c>
      <c r="O701" t="str">
        <f t="shared" si="30"/>
        <v>December</v>
      </c>
      <c r="P701">
        <f t="shared" si="31"/>
        <v>12</v>
      </c>
      <c r="Q701">
        <f t="shared" si="32"/>
        <v>2023</v>
      </c>
    </row>
    <row r="702" spans="1:17" x14ac:dyDescent="0.25">
      <c r="A702">
        <v>1020</v>
      </c>
      <c r="B702" s="1">
        <v>44966</v>
      </c>
      <c r="C702" t="s">
        <v>33</v>
      </c>
      <c r="D702" t="s">
        <v>34</v>
      </c>
      <c r="E702" s="4">
        <v>2102.3200000000002</v>
      </c>
      <c r="F702" s="2">
        <v>29</v>
      </c>
      <c r="G702" t="s">
        <v>35</v>
      </c>
      <c r="H702">
        <v>184.05</v>
      </c>
      <c r="I702">
        <v>675.91</v>
      </c>
      <c r="J702" t="s">
        <v>17</v>
      </c>
      <c r="K702" s="5">
        <v>0.1</v>
      </c>
      <c r="L702" t="s">
        <v>18</v>
      </c>
      <c r="M702" t="s">
        <v>22</v>
      </c>
      <c r="N702" t="s">
        <v>36</v>
      </c>
      <c r="O702" t="str">
        <f t="shared" si="30"/>
        <v>February</v>
      </c>
      <c r="P702">
        <f t="shared" si="31"/>
        <v>2</v>
      </c>
      <c r="Q702">
        <f t="shared" si="32"/>
        <v>2023</v>
      </c>
    </row>
    <row r="703" spans="1:17" x14ac:dyDescent="0.25">
      <c r="A703">
        <v>1092</v>
      </c>
      <c r="B703" s="1">
        <v>45273</v>
      </c>
      <c r="C703" t="s">
        <v>33</v>
      </c>
      <c r="D703" t="s">
        <v>15</v>
      </c>
      <c r="E703" s="4">
        <v>3206.89</v>
      </c>
      <c r="F703" s="2">
        <v>15</v>
      </c>
      <c r="G703" t="s">
        <v>29</v>
      </c>
      <c r="H703">
        <v>2273.88</v>
      </c>
      <c r="I703">
        <v>2696.02</v>
      </c>
      <c r="J703" t="s">
        <v>30</v>
      </c>
      <c r="K703" s="5">
        <v>0.3</v>
      </c>
      <c r="L703" t="s">
        <v>18</v>
      </c>
      <c r="M703" t="s">
        <v>19</v>
      </c>
      <c r="N703" t="s">
        <v>53</v>
      </c>
      <c r="O703" t="str">
        <f t="shared" si="30"/>
        <v>December</v>
      </c>
      <c r="P703">
        <f t="shared" si="31"/>
        <v>12</v>
      </c>
      <c r="Q703">
        <f t="shared" si="32"/>
        <v>2023</v>
      </c>
    </row>
    <row r="704" spans="1:17" x14ac:dyDescent="0.25">
      <c r="A704">
        <v>1072</v>
      </c>
      <c r="B704" s="1">
        <v>45163</v>
      </c>
      <c r="C704" t="s">
        <v>33</v>
      </c>
      <c r="D704" t="s">
        <v>25</v>
      </c>
      <c r="E704" s="4">
        <v>2490.86</v>
      </c>
      <c r="F704" s="2">
        <v>12</v>
      </c>
      <c r="G704" t="s">
        <v>26</v>
      </c>
      <c r="H704">
        <v>1517.4</v>
      </c>
      <c r="I704">
        <v>1545.02</v>
      </c>
      <c r="J704" t="s">
        <v>30</v>
      </c>
      <c r="K704" s="5">
        <v>0.03</v>
      </c>
      <c r="L704" t="s">
        <v>27</v>
      </c>
      <c r="M704" t="s">
        <v>22</v>
      </c>
      <c r="N704" t="s">
        <v>44</v>
      </c>
      <c r="O704" t="str">
        <f t="shared" si="30"/>
        <v>August</v>
      </c>
      <c r="P704">
        <f t="shared" si="31"/>
        <v>8</v>
      </c>
      <c r="Q704">
        <f t="shared" si="32"/>
        <v>2023</v>
      </c>
    </row>
    <row r="705" spans="1:17" x14ac:dyDescent="0.25">
      <c r="A705">
        <v>1061</v>
      </c>
      <c r="B705" s="1">
        <v>45215</v>
      </c>
      <c r="C705" t="s">
        <v>38</v>
      </c>
      <c r="D705" t="s">
        <v>34</v>
      </c>
      <c r="E705" s="4">
        <v>2227.64</v>
      </c>
      <c r="F705" s="2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 s="5">
        <v>0.12</v>
      </c>
      <c r="L705" t="s">
        <v>18</v>
      </c>
      <c r="M705" t="s">
        <v>22</v>
      </c>
      <c r="N705" t="s">
        <v>48</v>
      </c>
      <c r="O705" t="str">
        <f t="shared" si="30"/>
        <v>October</v>
      </c>
      <c r="P705">
        <f t="shared" si="31"/>
        <v>10</v>
      </c>
      <c r="Q705">
        <f t="shared" si="32"/>
        <v>2023</v>
      </c>
    </row>
    <row r="706" spans="1:17" x14ac:dyDescent="0.25">
      <c r="A706">
        <v>1039</v>
      </c>
      <c r="B706" s="1">
        <v>45188</v>
      </c>
      <c r="C706" t="s">
        <v>14</v>
      </c>
      <c r="D706" t="s">
        <v>25</v>
      </c>
      <c r="E706" s="4">
        <v>4306.0200000000004</v>
      </c>
      <c r="F706" s="2">
        <v>28</v>
      </c>
      <c r="G706" t="s">
        <v>29</v>
      </c>
      <c r="H706">
        <v>666.84</v>
      </c>
      <c r="I706">
        <v>817.36</v>
      </c>
      <c r="J706" t="s">
        <v>17</v>
      </c>
      <c r="K706" s="5">
        <v>0.02</v>
      </c>
      <c r="L706" t="s">
        <v>18</v>
      </c>
      <c r="M706" t="s">
        <v>22</v>
      </c>
      <c r="N706" t="s">
        <v>32</v>
      </c>
      <c r="O706" t="str">
        <f t="shared" ref="O706:O769" si="33">TEXT(B706,"mmmm")</f>
        <v>September</v>
      </c>
      <c r="P706">
        <f t="shared" ref="P706:P769" si="34">MONTH(B706)</f>
        <v>9</v>
      </c>
      <c r="Q706">
        <f t="shared" ref="Q706:Q769" si="35">YEAR(B706)</f>
        <v>2023</v>
      </c>
    </row>
    <row r="707" spans="1:17" x14ac:dyDescent="0.25">
      <c r="A707">
        <v>1001</v>
      </c>
      <c r="B707" s="1">
        <v>45142</v>
      </c>
      <c r="C707" t="s">
        <v>24</v>
      </c>
      <c r="D707" t="s">
        <v>21</v>
      </c>
      <c r="E707" s="4">
        <v>9087.6</v>
      </c>
      <c r="F707" s="2">
        <v>20</v>
      </c>
      <c r="G707" t="s">
        <v>26</v>
      </c>
      <c r="H707">
        <v>3279.76</v>
      </c>
      <c r="I707">
        <v>3563.97</v>
      </c>
      <c r="J707" t="s">
        <v>17</v>
      </c>
      <c r="K707" s="5">
        <v>0.25</v>
      </c>
      <c r="L707" t="s">
        <v>18</v>
      </c>
      <c r="M707" t="s">
        <v>22</v>
      </c>
      <c r="N707" t="s">
        <v>47</v>
      </c>
      <c r="O707" t="str">
        <f t="shared" si="33"/>
        <v>August</v>
      </c>
      <c r="P707">
        <f t="shared" si="34"/>
        <v>8</v>
      </c>
      <c r="Q707">
        <f t="shared" si="35"/>
        <v>2023</v>
      </c>
    </row>
    <row r="708" spans="1:17" x14ac:dyDescent="0.25">
      <c r="A708">
        <v>1003</v>
      </c>
      <c r="B708" s="1">
        <v>45073</v>
      </c>
      <c r="C708" t="s">
        <v>38</v>
      </c>
      <c r="D708" t="s">
        <v>34</v>
      </c>
      <c r="E708" s="4">
        <v>5119.8900000000003</v>
      </c>
      <c r="F708" s="2">
        <v>39</v>
      </c>
      <c r="G708" t="s">
        <v>29</v>
      </c>
      <c r="H708">
        <v>310.95999999999998</v>
      </c>
      <c r="I708">
        <v>457.84</v>
      </c>
      <c r="J708" t="s">
        <v>30</v>
      </c>
      <c r="K708" s="5">
        <v>0.03</v>
      </c>
      <c r="L708" t="s">
        <v>31</v>
      </c>
      <c r="M708" t="s">
        <v>19</v>
      </c>
      <c r="N708" t="s">
        <v>48</v>
      </c>
      <c r="O708" t="str">
        <f t="shared" si="33"/>
        <v>May</v>
      </c>
      <c r="P708">
        <f t="shared" si="34"/>
        <v>5</v>
      </c>
      <c r="Q708">
        <f t="shared" si="35"/>
        <v>2023</v>
      </c>
    </row>
    <row r="709" spans="1:17" x14ac:dyDescent="0.25">
      <c r="A709">
        <v>1077</v>
      </c>
      <c r="B709" s="1">
        <v>45262</v>
      </c>
      <c r="C709" t="s">
        <v>24</v>
      </c>
      <c r="D709" t="s">
        <v>34</v>
      </c>
      <c r="E709" s="4">
        <v>1960.41</v>
      </c>
      <c r="F709" s="2">
        <v>24</v>
      </c>
      <c r="G709" t="s">
        <v>35</v>
      </c>
      <c r="H709">
        <v>2258.54</v>
      </c>
      <c r="I709">
        <v>2439.4899999999998</v>
      </c>
      <c r="J709" t="s">
        <v>17</v>
      </c>
      <c r="K709" s="5">
        <v>0.2</v>
      </c>
      <c r="L709" t="s">
        <v>31</v>
      </c>
      <c r="M709" t="s">
        <v>22</v>
      </c>
      <c r="N709" t="s">
        <v>50</v>
      </c>
      <c r="O709" t="str">
        <f t="shared" si="33"/>
        <v>December</v>
      </c>
      <c r="P709">
        <f t="shared" si="34"/>
        <v>12</v>
      </c>
      <c r="Q709">
        <f t="shared" si="35"/>
        <v>2023</v>
      </c>
    </row>
    <row r="710" spans="1:17" x14ac:dyDescent="0.25">
      <c r="A710">
        <v>1092</v>
      </c>
      <c r="B710" s="1">
        <v>45094</v>
      </c>
      <c r="C710" t="s">
        <v>24</v>
      </c>
      <c r="D710" t="s">
        <v>34</v>
      </c>
      <c r="E710" s="4">
        <v>862.02</v>
      </c>
      <c r="F710" s="2">
        <v>21</v>
      </c>
      <c r="G710" t="s">
        <v>29</v>
      </c>
      <c r="H710">
        <v>2792.2</v>
      </c>
      <c r="I710">
        <v>3254.5499999999902</v>
      </c>
      <c r="J710" t="s">
        <v>30</v>
      </c>
      <c r="K710" s="5">
        <v>0.02</v>
      </c>
      <c r="L710" t="s">
        <v>31</v>
      </c>
      <c r="M710" t="s">
        <v>22</v>
      </c>
      <c r="N710" t="s">
        <v>50</v>
      </c>
      <c r="O710" t="str">
        <f t="shared" si="33"/>
        <v>June</v>
      </c>
      <c r="P710">
        <f t="shared" si="34"/>
        <v>6</v>
      </c>
      <c r="Q710">
        <f t="shared" si="35"/>
        <v>2023</v>
      </c>
    </row>
    <row r="711" spans="1:17" x14ac:dyDescent="0.25">
      <c r="A711">
        <v>1062</v>
      </c>
      <c r="B711" s="1">
        <v>45018</v>
      </c>
      <c r="C711" t="s">
        <v>14</v>
      </c>
      <c r="D711" t="s">
        <v>34</v>
      </c>
      <c r="E711" s="4">
        <v>6991.95</v>
      </c>
      <c r="F711" s="2">
        <v>10</v>
      </c>
      <c r="G711" t="s">
        <v>29</v>
      </c>
      <c r="H711">
        <v>1524.88</v>
      </c>
      <c r="I711">
        <v>1636.14</v>
      </c>
      <c r="J711" t="s">
        <v>30</v>
      </c>
      <c r="K711" s="5">
        <v>0.2</v>
      </c>
      <c r="L711" t="s">
        <v>27</v>
      </c>
      <c r="M711" t="s">
        <v>19</v>
      </c>
      <c r="N711" t="s">
        <v>46</v>
      </c>
      <c r="O711" t="str">
        <f t="shared" si="33"/>
        <v>April</v>
      </c>
      <c r="P711">
        <f t="shared" si="34"/>
        <v>4</v>
      </c>
      <c r="Q711">
        <f t="shared" si="35"/>
        <v>2023</v>
      </c>
    </row>
    <row r="712" spans="1:17" x14ac:dyDescent="0.25">
      <c r="A712">
        <v>1063</v>
      </c>
      <c r="B712" s="1">
        <v>45279</v>
      </c>
      <c r="C712" t="s">
        <v>33</v>
      </c>
      <c r="D712" t="s">
        <v>21</v>
      </c>
      <c r="E712" s="4">
        <v>3889.71</v>
      </c>
      <c r="F712" s="2">
        <v>46</v>
      </c>
      <c r="G712" t="s">
        <v>16</v>
      </c>
      <c r="H712">
        <v>2302.62</v>
      </c>
      <c r="I712">
        <v>2740.93</v>
      </c>
      <c r="J712" t="s">
        <v>17</v>
      </c>
      <c r="K712" s="5">
        <v>0.25</v>
      </c>
      <c r="L712" t="s">
        <v>27</v>
      </c>
      <c r="M712" t="s">
        <v>19</v>
      </c>
      <c r="N712" t="s">
        <v>37</v>
      </c>
      <c r="O712" t="str">
        <f t="shared" si="33"/>
        <v>December</v>
      </c>
      <c r="P712">
        <f t="shared" si="34"/>
        <v>12</v>
      </c>
      <c r="Q712">
        <f t="shared" si="35"/>
        <v>2023</v>
      </c>
    </row>
    <row r="713" spans="1:17" x14ac:dyDescent="0.25">
      <c r="A713">
        <v>1025</v>
      </c>
      <c r="B713" s="1">
        <v>44985</v>
      </c>
      <c r="C713" t="s">
        <v>14</v>
      </c>
      <c r="D713" t="s">
        <v>34</v>
      </c>
      <c r="E713" s="4">
        <v>8236.1299999999992</v>
      </c>
      <c r="F713" s="2">
        <v>14</v>
      </c>
      <c r="G713" t="s">
        <v>35</v>
      </c>
      <c r="H713">
        <v>859.59</v>
      </c>
      <c r="I713">
        <v>884.51</v>
      </c>
      <c r="J713" t="s">
        <v>30</v>
      </c>
      <c r="K713" s="5">
        <v>0.12</v>
      </c>
      <c r="L713" t="s">
        <v>27</v>
      </c>
      <c r="M713" t="s">
        <v>19</v>
      </c>
      <c r="N713" t="s">
        <v>46</v>
      </c>
      <c r="O713" t="str">
        <f t="shared" si="33"/>
        <v>February</v>
      </c>
      <c r="P713">
        <f t="shared" si="34"/>
        <v>2</v>
      </c>
      <c r="Q713">
        <f t="shared" si="35"/>
        <v>2023</v>
      </c>
    </row>
    <row r="714" spans="1:17" x14ac:dyDescent="0.25">
      <c r="A714">
        <v>1056</v>
      </c>
      <c r="B714" s="1">
        <v>44985</v>
      </c>
      <c r="C714" t="s">
        <v>38</v>
      </c>
      <c r="D714" t="s">
        <v>15</v>
      </c>
      <c r="E714" s="4">
        <v>6629.16</v>
      </c>
      <c r="F714" s="2">
        <v>37</v>
      </c>
      <c r="G714" t="s">
        <v>35</v>
      </c>
      <c r="H714">
        <v>1555.41</v>
      </c>
      <c r="I714">
        <v>1609.94</v>
      </c>
      <c r="J714" t="s">
        <v>17</v>
      </c>
      <c r="K714" s="5">
        <v>0.16</v>
      </c>
      <c r="L714" t="s">
        <v>31</v>
      </c>
      <c r="M714" t="s">
        <v>19</v>
      </c>
      <c r="N714" t="s">
        <v>40</v>
      </c>
      <c r="O714" t="str">
        <f t="shared" si="33"/>
        <v>February</v>
      </c>
      <c r="P714">
        <f t="shared" si="34"/>
        <v>2</v>
      </c>
      <c r="Q714">
        <f t="shared" si="35"/>
        <v>2023</v>
      </c>
    </row>
    <row r="715" spans="1:17" x14ac:dyDescent="0.25">
      <c r="A715">
        <v>1033</v>
      </c>
      <c r="B715" s="1">
        <v>45230</v>
      </c>
      <c r="C715" t="s">
        <v>38</v>
      </c>
      <c r="D715" t="s">
        <v>34</v>
      </c>
      <c r="E715" s="4">
        <v>7982.79</v>
      </c>
      <c r="F715" s="2">
        <v>18</v>
      </c>
      <c r="G715" t="s">
        <v>16</v>
      </c>
      <c r="H715">
        <v>3124.48</v>
      </c>
      <c r="I715">
        <v>3553.27</v>
      </c>
      <c r="J715" t="s">
        <v>17</v>
      </c>
      <c r="K715" s="5">
        <v>0.12</v>
      </c>
      <c r="L715" t="s">
        <v>18</v>
      </c>
      <c r="M715" t="s">
        <v>22</v>
      </c>
      <c r="N715" t="s">
        <v>48</v>
      </c>
      <c r="O715" t="str">
        <f t="shared" si="33"/>
        <v>October</v>
      </c>
      <c r="P715">
        <f t="shared" si="34"/>
        <v>10</v>
      </c>
      <c r="Q715">
        <f t="shared" si="35"/>
        <v>2023</v>
      </c>
    </row>
    <row r="716" spans="1:17" x14ac:dyDescent="0.25">
      <c r="A716">
        <v>1038</v>
      </c>
      <c r="B716" s="1">
        <v>45095</v>
      </c>
      <c r="C716" t="s">
        <v>38</v>
      </c>
      <c r="D716" t="s">
        <v>21</v>
      </c>
      <c r="E716" s="4">
        <v>2792.27</v>
      </c>
      <c r="F716" s="2">
        <v>24</v>
      </c>
      <c r="G716" t="s">
        <v>29</v>
      </c>
      <c r="H716">
        <v>1543.91</v>
      </c>
      <c r="I716">
        <v>1862.88</v>
      </c>
      <c r="J716" t="s">
        <v>30</v>
      </c>
      <c r="K716" s="5">
        <v>0.09</v>
      </c>
      <c r="L716" t="s">
        <v>27</v>
      </c>
      <c r="M716" t="s">
        <v>19</v>
      </c>
      <c r="N716" t="s">
        <v>41</v>
      </c>
      <c r="O716" t="str">
        <f t="shared" si="33"/>
        <v>June</v>
      </c>
      <c r="P716">
        <f t="shared" si="34"/>
        <v>6</v>
      </c>
      <c r="Q716">
        <f t="shared" si="35"/>
        <v>2023</v>
      </c>
    </row>
    <row r="717" spans="1:17" x14ac:dyDescent="0.25">
      <c r="A717">
        <v>1006</v>
      </c>
      <c r="B717" s="1">
        <v>45195</v>
      </c>
      <c r="C717" t="s">
        <v>14</v>
      </c>
      <c r="D717" t="s">
        <v>34</v>
      </c>
      <c r="E717" s="4">
        <v>6954.35</v>
      </c>
      <c r="F717" s="2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 s="5">
        <v>0.24</v>
      </c>
      <c r="L717" t="s">
        <v>27</v>
      </c>
      <c r="M717" t="s">
        <v>22</v>
      </c>
      <c r="N717" t="s">
        <v>46</v>
      </c>
      <c r="O717" t="str">
        <f t="shared" si="33"/>
        <v>September</v>
      </c>
      <c r="P717">
        <f t="shared" si="34"/>
        <v>9</v>
      </c>
      <c r="Q717">
        <f t="shared" si="35"/>
        <v>2023</v>
      </c>
    </row>
    <row r="718" spans="1:17" x14ac:dyDescent="0.25">
      <c r="A718">
        <v>1058</v>
      </c>
      <c r="B718" s="1">
        <v>45289</v>
      </c>
      <c r="C718" t="s">
        <v>24</v>
      </c>
      <c r="D718" t="s">
        <v>15</v>
      </c>
      <c r="E718" s="4">
        <v>2714.21</v>
      </c>
      <c r="F718" s="2">
        <v>34</v>
      </c>
      <c r="G718" t="s">
        <v>35</v>
      </c>
      <c r="H718">
        <v>3160.61</v>
      </c>
      <c r="I718">
        <v>3273.22</v>
      </c>
      <c r="J718" t="s">
        <v>17</v>
      </c>
      <c r="K718" s="5">
        <v>0.08</v>
      </c>
      <c r="L718" t="s">
        <v>31</v>
      </c>
      <c r="M718" t="s">
        <v>22</v>
      </c>
      <c r="N718" t="s">
        <v>45</v>
      </c>
      <c r="O718" t="str">
        <f t="shared" si="33"/>
        <v>December</v>
      </c>
      <c r="P718">
        <f t="shared" si="34"/>
        <v>12</v>
      </c>
      <c r="Q718">
        <f t="shared" si="35"/>
        <v>2023</v>
      </c>
    </row>
    <row r="719" spans="1:17" x14ac:dyDescent="0.25">
      <c r="A719">
        <v>1044</v>
      </c>
      <c r="B719" s="1">
        <v>44971</v>
      </c>
      <c r="C719" t="s">
        <v>24</v>
      </c>
      <c r="D719" t="s">
        <v>21</v>
      </c>
      <c r="E719" s="4">
        <v>9396.7800000000007</v>
      </c>
      <c r="F719" s="2">
        <v>12</v>
      </c>
      <c r="G719" t="s">
        <v>35</v>
      </c>
      <c r="H719">
        <v>2221.31</v>
      </c>
      <c r="I719">
        <v>2494.48</v>
      </c>
      <c r="J719" t="s">
        <v>17</v>
      </c>
      <c r="K719" s="5">
        <v>0.22</v>
      </c>
      <c r="L719" t="s">
        <v>27</v>
      </c>
      <c r="M719" t="s">
        <v>19</v>
      </c>
      <c r="N719" t="s">
        <v>47</v>
      </c>
      <c r="O719" t="str">
        <f t="shared" si="33"/>
        <v>February</v>
      </c>
      <c r="P719">
        <f t="shared" si="34"/>
        <v>2</v>
      </c>
      <c r="Q719">
        <f t="shared" si="35"/>
        <v>2023</v>
      </c>
    </row>
    <row r="720" spans="1:17" x14ac:dyDescent="0.25">
      <c r="A720">
        <v>1045</v>
      </c>
      <c r="B720" s="1">
        <v>45271</v>
      </c>
      <c r="C720" t="s">
        <v>42</v>
      </c>
      <c r="D720" t="s">
        <v>21</v>
      </c>
      <c r="E720" s="4">
        <v>6400.11</v>
      </c>
      <c r="F720" s="2">
        <v>22</v>
      </c>
      <c r="G720" t="s">
        <v>29</v>
      </c>
      <c r="H720">
        <v>241.85</v>
      </c>
      <c r="I720">
        <v>613.09</v>
      </c>
      <c r="J720" t="s">
        <v>17</v>
      </c>
      <c r="K720" s="5">
        <v>0.06</v>
      </c>
      <c r="L720" t="s">
        <v>18</v>
      </c>
      <c r="M720" t="s">
        <v>19</v>
      </c>
      <c r="N720" t="s">
        <v>51</v>
      </c>
      <c r="O720" t="str">
        <f t="shared" si="33"/>
        <v>December</v>
      </c>
      <c r="P720">
        <f t="shared" si="34"/>
        <v>12</v>
      </c>
      <c r="Q720">
        <f t="shared" si="35"/>
        <v>2023</v>
      </c>
    </row>
    <row r="721" spans="1:17" x14ac:dyDescent="0.25">
      <c r="A721">
        <v>1032</v>
      </c>
      <c r="B721" s="1">
        <v>45107</v>
      </c>
      <c r="C721" t="s">
        <v>38</v>
      </c>
      <c r="D721" t="s">
        <v>15</v>
      </c>
      <c r="E721" s="4">
        <v>3312.67</v>
      </c>
      <c r="F721" s="2">
        <v>6</v>
      </c>
      <c r="G721" t="s">
        <v>29</v>
      </c>
      <c r="H721">
        <v>2522.7600000000002</v>
      </c>
      <c r="I721">
        <v>2840.14</v>
      </c>
      <c r="J721" t="s">
        <v>17</v>
      </c>
      <c r="K721" s="5">
        <v>7.0000000000000007E-2</v>
      </c>
      <c r="L721" t="s">
        <v>31</v>
      </c>
      <c r="M721" t="s">
        <v>22</v>
      </c>
      <c r="N721" t="s">
        <v>40</v>
      </c>
      <c r="O721" t="str">
        <f t="shared" si="33"/>
        <v>June</v>
      </c>
      <c r="P721">
        <f t="shared" si="34"/>
        <v>6</v>
      </c>
      <c r="Q721">
        <f t="shared" si="35"/>
        <v>2023</v>
      </c>
    </row>
    <row r="722" spans="1:17" x14ac:dyDescent="0.25">
      <c r="A722">
        <v>1045</v>
      </c>
      <c r="B722" s="1">
        <v>45096</v>
      </c>
      <c r="C722" t="s">
        <v>24</v>
      </c>
      <c r="D722" t="s">
        <v>15</v>
      </c>
      <c r="E722" s="4">
        <v>2768.17</v>
      </c>
      <c r="F722" s="2">
        <v>36</v>
      </c>
      <c r="G722" t="s">
        <v>35</v>
      </c>
      <c r="H722">
        <v>3835.64</v>
      </c>
      <c r="I722">
        <v>4076.77</v>
      </c>
      <c r="J722" t="s">
        <v>17</v>
      </c>
      <c r="K722" s="5">
        <v>0.1</v>
      </c>
      <c r="L722" t="s">
        <v>31</v>
      </c>
      <c r="M722" t="s">
        <v>22</v>
      </c>
      <c r="N722" t="s">
        <v>45</v>
      </c>
      <c r="O722" t="str">
        <f t="shared" si="33"/>
        <v>June</v>
      </c>
      <c r="P722">
        <f t="shared" si="34"/>
        <v>6</v>
      </c>
      <c r="Q722">
        <f t="shared" si="35"/>
        <v>2023</v>
      </c>
    </row>
    <row r="723" spans="1:17" x14ac:dyDescent="0.25">
      <c r="A723">
        <v>1061</v>
      </c>
      <c r="B723" s="1">
        <v>45282</v>
      </c>
      <c r="C723" t="s">
        <v>42</v>
      </c>
      <c r="D723" t="s">
        <v>15</v>
      </c>
      <c r="E723" s="4">
        <v>1990.17</v>
      </c>
      <c r="F723" s="2">
        <v>45</v>
      </c>
      <c r="G723" t="s">
        <v>29</v>
      </c>
      <c r="H723">
        <v>1364.51</v>
      </c>
      <c r="I723">
        <v>1844.8</v>
      </c>
      <c r="J723" t="s">
        <v>17</v>
      </c>
      <c r="K723" s="5">
        <v>0.18</v>
      </c>
      <c r="L723" t="s">
        <v>18</v>
      </c>
      <c r="M723" t="s">
        <v>19</v>
      </c>
      <c r="N723" t="s">
        <v>49</v>
      </c>
      <c r="O723" t="str">
        <f t="shared" si="33"/>
        <v>December</v>
      </c>
      <c r="P723">
        <f t="shared" si="34"/>
        <v>12</v>
      </c>
      <c r="Q723">
        <f t="shared" si="35"/>
        <v>2023</v>
      </c>
    </row>
    <row r="724" spans="1:17" x14ac:dyDescent="0.25">
      <c r="A724">
        <v>1047</v>
      </c>
      <c r="B724" s="1">
        <v>45117</v>
      </c>
      <c r="C724" t="s">
        <v>24</v>
      </c>
      <c r="D724" t="s">
        <v>15</v>
      </c>
      <c r="E724" s="4">
        <v>6976.95</v>
      </c>
      <c r="F724" s="2">
        <v>36</v>
      </c>
      <c r="G724" t="s">
        <v>26</v>
      </c>
      <c r="H724">
        <v>4043.53</v>
      </c>
      <c r="I724">
        <v>4384.8500000000004</v>
      </c>
      <c r="J724" t="s">
        <v>30</v>
      </c>
      <c r="K724" s="5">
        <v>0.14000000000000001</v>
      </c>
      <c r="L724" t="s">
        <v>18</v>
      </c>
      <c r="M724" t="s">
        <v>19</v>
      </c>
      <c r="N724" t="s">
        <v>45</v>
      </c>
      <c r="O724" t="str">
        <f t="shared" si="33"/>
        <v>July</v>
      </c>
      <c r="P724">
        <f t="shared" si="34"/>
        <v>7</v>
      </c>
      <c r="Q724">
        <f t="shared" si="35"/>
        <v>2023</v>
      </c>
    </row>
    <row r="725" spans="1:17" x14ac:dyDescent="0.25">
      <c r="A725">
        <v>1021</v>
      </c>
      <c r="B725" s="1">
        <v>45081</v>
      </c>
      <c r="C725" t="s">
        <v>38</v>
      </c>
      <c r="D725" t="s">
        <v>15</v>
      </c>
      <c r="E725" s="4">
        <v>2265.2800000000002</v>
      </c>
      <c r="F725" s="2">
        <v>22</v>
      </c>
      <c r="G725" t="s">
        <v>35</v>
      </c>
      <c r="H725">
        <v>1296.44</v>
      </c>
      <c r="I725">
        <v>1751.24</v>
      </c>
      <c r="J725" t="s">
        <v>30</v>
      </c>
      <c r="K725" s="5">
        <v>0.22</v>
      </c>
      <c r="L725" t="s">
        <v>18</v>
      </c>
      <c r="M725" t="s">
        <v>19</v>
      </c>
      <c r="N725" t="s">
        <v>40</v>
      </c>
      <c r="O725" t="str">
        <f t="shared" si="33"/>
        <v>June</v>
      </c>
      <c r="P725">
        <f t="shared" si="34"/>
        <v>6</v>
      </c>
      <c r="Q725">
        <f t="shared" si="35"/>
        <v>2023</v>
      </c>
    </row>
    <row r="726" spans="1:17" x14ac:dyDescent="0.25">
      <c r="A726">
        <v>1080</v>
      </c>
      <c r="B726" s="1">
        <v>45114</v>
      </c>
      <c r="C726" t="s">
        <v>33</v>
      </c>
      <c r="D726" t="s">
        <v>21</v>
      </c>
      <c r="E726" s="4">
        <v>5993.5</v>
      </c>
      <c r="F726" s="2">
        <v>14</v>
      </c>
      <c r="G726" t="s">
        <v>26</v>
      </c>
      <c r="H726">
        <v>4127.54</v>
      </c>
      <c r="I726">
        <v>4495.13</v>
      </c>
      <c r="J726" t="s">
        <v>30</v>
      </c>
      <c r="K726" s="5">
        <v>0.06</v>
      </c>
      <c r="L726" t="s">
        <v>27</v>
      </c>
      <c r="M726" t="s">
        <v>22</v>
      </c>
      <c r="N726" t="s">
        <v>37</v>
      </c>
      <c r="O726" t="str">
        <f t="shared" si="33"/>
        <v>July</v>
      </c>
      <c r="P726">
        <f t="shared" si="34"/>
        <v>7</v>
      </c>
      <c r="Q726">
        <f t="shared" si="35"/>
        <v>2023</v>
      </c>
    </row>
    <row r="727" spans="1:17" x14ac:dyDescent="0.25">
      <c r="A727">
        <v>1085</v>
      </c>
      <c r="B727" s="1">
        <v>44933</v>
      </c>
      <c r="C727" t="s">
        <v>38</v>
      </c>
      <c r="D727" t="s">
        <v>21</v>
      </c>
      <c r="E727" s="4">
        <v>2719.89</v>
      </c>
      <c r="F727" s="2">
        <v>16</v>
      </c>
      <c r="G727" t="s">
        <v>26</v>
      </c>
      <c r="H727">
        <v>472.08</v>
      </c>
      <c r="I727">
        <v>842.46</v>
      </c>
      <c r="J727" t="s">
        <v>30</v>
      </c>
      <c r="K727" s="5">
        <v>0</v>
      </c>
      <c r="L727" t="s">
        <v>18</v>
      </c>
      <c r="M727" t="s">
        <v>22</v>
      </c>
      <c r="N727" t="s">
        <v>41</v>
      </c>
      <c r="O727" t="str">
        <f t="shared" si="33"/>
        <v>January</v>
      </c>
      <c r="P727">
        <f t="shared" si="34"/>
        <v>1</v>
      </c>
      <c r="Q727">
        <f t="shared" si="35"/>
        <v>2023</v>
      </c>
    </row>
    <row r="728" spans="1:17" x14ac:dyDescent="0.25">
      <c r="A728">
        <v>1075</v>
      </c>
      <c r="B728" s="1">
        <v>45059</v>
      </c>
      <c r="C728" t="s">
        <v>14</v>
      </c>
      <c r="D728" t="s">
        <v>34</v>
      </c>
      <c r="E728" s="4">
        <v>6653.49</v>
      </c>
      <c r="F728" s="2">
        <v>36</v>
      </c>
      <c r="G728" t="s">
        <v>29</v>
      </c>
      <c r="H728">
        <v>4337.6099999999997</v>
      </c>
      <c r="I728">
        <v>4386.82</v>
      </c>
      <c r="J728" t="s">
        <v>17</v>
      </c>
      <c r="K728" s="5">
        <v>0.23</v>
      </c>
      <c r="L728" t="s">
        <v>31</v>
      </c>
      <c r="M728" t="s">
        <v>19</v>
      </c>
      <c r="N728" t="s">
        <v>46</v>
      </c>
      <c r="O728" t="str">
        <f t="shared" si="33"/>
        <v>May</v>
      </c>
      <c r="P728">
        <f t="shared" si="34"/>
        <v>5</v>
      </c>
      <c r="Q728">
        <f t="shared" si="35"/>
        <v>2023</v>
      </c>
    </row>
    <row r="729" spans="1:17" x14ac:dyDescent="0.25">
      <c r="A729">
        <v>1036</v>
      </c>
      <c r="B729" s="1">
        <v>45161</v>
      </c>
      <c r="C729" t="s">
        <v>24</v>
      </c>
      <c r="D729" t="s">
        <v>34</v>
      </c>
      <c r="E729" s="4">
        <v>8167.9</v>
      </c>
      <c r="F729" s="2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 s="5">
        <v>0.25</v>
      </c>
      <c r="L729" t="s">
        <v>18</v>
      </c>
      <c r="M729" t="s">
        <v>22</v>
      </c>
      <c r="N729" t="s">
        <v>50</v>
      </c>
      <c r="O729" t="str">
        <f t="shared" si="33"/>
        <v>August</v>
      </c>
      <c r="P729">
        <f t="shared" si="34"/>
        <v>8</v>
      </c>
      <c r="Q729">
        <f t="shared" si="35"/>
        <v>2023</v>
      </c>
    </row>
    <row r="730" spans="1:17" x14ac:dyDescent="0.25">
      <c r="A730">
        <v>1099</v>
      </c>
      <c r="B730" s="1">
        <v>44971</v>
      </c>
      <c r="C730" t="s">
        <v>24</v>
      </c>
      <c r="D730" t="s">
        <v>25</v>
      </c>
      <c r="E730" s="4">
        <v>7802.45</v>
      </c>
      <c r="F730" s="2">
        <v>32</v>
      </c>
      <c r="G730" t="s">
        <v>29</v>
      </c>
      <c r="H730">
        <v>1517.86</v>
      </c>
      <c r="I730">
        <v>1948.46</v>
      </c>
      <c r="J730" t="s">
        <v>30</v>
      </c>
      <c r="K730" s="5">
        <v>0.02</v>
      </c>
      <c r="L730" t="s">
        <v>31</v>
      </c>
      <c r="M730" t="s">
        <v>19</v>
      </c>
      <c r="N730" t="s">
        <v>28</v>
      </c>
      <c r="O730" t="str">
        <f t="shared" si="33"/>
        <v>February</v>
      </c>
      <c r="P730">
        <f t="shared" si="34"/>
        <v>2</v>
      </c>
      <c r="Q730">
        <f t="shared" si="35"/>
        <v>2023</v>
      </c>
    </row>
    <row r="731" spans="1:17" x14ac:dyDescent="0.25">
      <c r="A731">
        <v>1019</v>
      </c>
      <c r="B731" s="1">
        <v>45240</v>
      </c>
      <c r="C731" t="s">
        <v>14</v>
      </c>
      <c r="D731" t="s">
        <v>34</v>
      </c>
      <c r="E731" s="4">
        <v>7632.43</v>
      </c>
      <c r="F731" s="2">
        <v>33</v>
      </c>
      <c r="G731" t="s">
        <v>16</v>
      </c>
      <c r="H731">
        <v>1362.31</v>
      </c>
      <c r="I731">
        <v>1486.29</v>
      </c>
      <c r="J731" t="s">
        <v>17</v>
      </c>
      <c r="K731" s="5">
        <v>0.18</v>
      </c>
      <c r="L731" t="s">
        <v>31</v>
      </c>
      <c r="M731" t="s">
        <v>22</v>
      </c>
      <c r="N731" t="s">
        <v>46</v>
      </c>
      <c r="O731" t="str">
        <f t="shared" si="33"/>
        <v>November</v>
      </c>
      <c r="P731">
        <f t="shared" si="34"/>
        <v>11</v>
      </c>
      <c r="Q731">
        <f t="shared" si="35"/>
        <v>2023</v>
      </c>
    </row>
    <row r="732" spans="1:17" x14ac:dyDescent="0.25">
      <c r="A732">
        <v>1020</v>
      </c>
      <c r="B732" s="1">
        <v>45175</v>
      </c>
      <c r="C732" t="s">
        <v>14</v>
      </c>
      <c r="D732" t="s">
        <v>34</v>
      </c>
      <c r="E732" s="4">
        <v>1958.45</v>
      </c>
      <c r="F732" s="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 s="5">
        <v>0.11</v>
      </c>
      <c r="L732" t="s">
        <v>27</v>
      </c>
      <c r="M732" t="s">
        <v>22</v>
      </c>
      <c r="N732" t="s">
        <v>46</v>
      </c>
      <c r="O732" t="str">
        <f t="shared" si="33"/>
        <v>September</v>
      </c>
      <c r="P732">
        <f t="shared" si="34"/>
        <v>9</v>
      </c>
      <c r="Q732">
        <f t="shared" si="35"/>
        <v>2023</v>
      </c>
    </row>
    <row r="733" spans="1:17" x14ac:dyDescent="0.25">
      <c r="A733">
        <v>1057</v>
      </c>
      <c r="B733" s="1">
        <v>44957</v>
      </c>
      <c r="C733" t="s">
        <v>33</v>
      </c>
      <c r="D733" t="s">
        <v>15</v>
      </c>
      <c r="E733" s="4">
        <v>975.01</v>
      </c>
      <c r="F733" s="2">
        <v>36</v>
      </c>
      <c r="G733" t="s">
        <v>26</v>
      </c>
      <c r="H733">
        <v>4995.3</v>
      </c>
      <c r="I733">
        <v>5165.09</v>
      </c>
      <c r="J733" t="s">
        <v>17</v>
      </c>
      <c r="K733" s="5">
        <v>0.24</v>
      </c>
      <c r="L733" t="s">
        <v>18</v>
      </c>
      <c r="M733" t="s">
        <v>19</v>
      </c>
      <c r="N733" t="s">
        <v>53</v>
      </c>
      <c r="O733" t="str">
        <f t="shared" si="33"/>
        <v>January</v>
      </c>
      <c r="P733">
        <f t="shared" si="34"/>
        <v>1</v>
      </c>
      <c r="Q733">
        <f t="shared" si="35"/>
        <v>2023</v>
      </c>
    </row>
    <row r="734" spans="1:17" x14ac:dyDescent="0.25">
      <c r="A734">
        <v>1018</v>
      </c>
      <c r="B734" s="1">
        <v>44949</v>
      </c>
      <c r="C734" t="s">
        <v>24</v>
      </c>
      <c r="D734" t="s">
        <v>15</v>
      </c>
      <c r="E734" s="4">
        <v>7019.59</v>
      </c>
      <c r="F734" s="2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 s="5">
        <v>0.26</v>
      </c>
      <c r="L734" t="s">
        <v>27</v>
      </c>
      <c r="M734" t="s">
        <v>19</v>
      </c>
      <c r="N734" t="s">
        <v>45</v>
      </c>
      <c r="O734" t="str">
        <f t="shared" si="33"/>
        <v>January</v>
      </c>
      <c r="P734">
        <f t="shared" si="34"/>
        <v>1</v>
      </c>
      <c r="Q734">
        <f t="shared" si="35"/>
        <v>2023</v>
      </c>
    </row>
    <row r="735" spans="1:17" x14ac:dyDescent="0.25">
      <c r="A735">
        <v>1047</v>
      </c>
      <c r="B735" s="1">
        <v>45086</v>
      </c>
      <c r="C735" t="s">
        <v>24</v>
      </c>
      <c r="D735" t="s">
        <v>34</v>
      </c>
      <c r="E735" s="4">
        <v>3746.64</v>
      </c>
      <c r="F735" s="2">
        <v>18</v>
      </c>
      <c r="G735" t="s">
        <v>29</v>
      </c>
      <c r="H735">
        <v>560.91999999999996</v>
      </c>
      <c r="I735">
        <v>1024.31</v>
      </c>
      <c r="J735" t="s">
        <v>17</v>
      </c>
      <c r="K735" s="5">
        <v>0.26</v>
      </c>
      <c r="L735" t="s">
        <v>18</v>
      </c>
      <c r="M735" t="s">
        <v>19</v>
      </c>
      <c r="N735" t="s">
        <v>50</v>
      </c>
      <c r="O735" t="str">
        <f t="shared" si="33"/>
        <v>June</v>
      </c>
      <c r="P735">
        <f t="shared" si="34"/>
        <v>6</v>
      </c>
      <c r="Q735">
        <f t="shared" si="35"/>
        <v>2023</v>
      </c>
    </row>
    <row r="736" spans="1:17" x14ac:dyDescent="0.25">
      <c r="A736">
        <v>1049</v>
      </c>
      <c r="B736" s="1">
        <v>45289</v>
      </c>
      <c r="C736" t="s">
        <v>33</v>
      </c>
      <c r="D736" t="s">
        <v>25</v>
      </c>
      <c r="E736" s="4">
        <v>4380.2299999999996</v>
      </c>
      <c r="F736" s="2">
        <v>38</v>
      </c>
      <c r="G736" t="s">
        <v>26</v>
      </c>
      <c r="H736">
        <v>2945.92</v>
      </c>
      <c r="I736">
        <v>3381.22</v>
      </c>
      <c r="J736" t="s">
        <v>17</v>
      </c>
      <c r="K736" s="5">
        <v>0.23</v>
      </c>
      <c r="L736" t="s">
        <v>18</v>
      </c>
      <c r="M736" t="s">
        <v>22</v>
      </c>
      <c r="N736" t="s">
        <v>44</v>
      </c>
      <c r="O736" t="str">
        <f t="shared" si="33"/>
        <v>December</v>
      </c>
      <c r="P736">
        <f t="shared" si="34"/>
        <v>12</v>
      </c>
      <c r="Q736">
        <f t="shared" si="35"/>
        <v>2023</v>
      </c>
    </row>
    <row r="737" spans="1:17" x14ac:dyDescent="0.25">
      <c r="A737">
        <v>1014</v>
      </c>
      <c r="B737" s="1">
        <v>45084</v>
      </c>
      <c r="C737" t="s">
        <v>42</v>
      </c>
      <c r="D737" t="s">
        <v>15</v>
      </c>
      <c r="E737" s="4">
        <v>408.38</v>
      </c>
      <c r="F737" s="2">
        <v>3</v>
      </c>
      <c r="G737" t="s">
        <v>35</v>
      </c>
      <c r="H737">
        <v>2468.29</v>
      </c>
      <c r="I737">
        <v>2723.13</v>
      </c>
      <c r="J737" t="s">
        <v>17</v>
      </c>
      <c r="K737" s="5">
        <v>0.08</v>
      </c>
      <c r="L737" t="s">
        <v>18</v>
      </c>
      <c r="M737" t="s">
        <v>22</v>
      </c>
      <c r="N737" t="s">
        <v>49</v>
      </c>
      <c r="O737" t="str">
        <f t="shared" si="33"/>
        <v>June</v>
      </c>
      <c r="P737">
        <f t="shared" si="34"/>
        <v>6</v>
      </c>
      <c r="Q737">
        <f t="shared" si="35"/>
        <v>2023</v>
      </c>
    </row>
    <row r="738" spans="1:17" x14ac:dyDescent="0.25">
      <c r="A738">
        <v>1015</v>
      </c>
      <c r="B738" s="1">
        <v>44965</v>
      </c>
      <c r="C738" t="s">
        <v>33</v>
      </c>
      <c r="D738" t="s">
        <v>34</v>
      </c>
      <c r="E738" s="4">
        <v>2669.81</v>
      </c>
      <c r="F738" s="2">
        <v>23</v>
      </c>
      <c r="G738" t="s">
        <v>35</v>
      </c>
      <c r="H738">
        <v>2644.77</v>
      </c>
      <c r="I738">
        <v>2684.83</v>
      </c>
      <c r="J738" t="s">
        <v>30</v>
      </c>
      <c r="K738" s="5">
        <v>0.24</v>
      </c>
      <c r="L738" t="s">
        <v>18</v>
      </c>
      <c r="M738" t="s">
        <v>19</v>
      </c>
      <c r="N738" t="s">
        <v>36</v>
      </c>
      <c r="O738" t="str">
        <f t="shared" si="33"/>
        <v>February</v>
      </c>
      <c r="P738">
        <f t="shared" si="34"/>
        <v>2</v>
      </c>
      <c r="Q738">
        <f t="shared" si="35"/>
        <v>2023</v>
      </c>
    </row>
    <row r="739" spans="1:17" x14ac:dyDescent="0.25">
      <c r="A739">
        <v>1031</v>
      </c>
      <c r="B739" s="1">
        <v>45008</v>
      </c>
      <c r="C739" t="s">
        <v>38</v>
      </c>
      <c r="D739" t="s">
        <v>34</v>
      </c>
      <c r="E739" s="4">
        <v>433.4</v>
      </c>
      <c r="F739" s="2">
        <v>32</v>
      </c>
      <c r="G739" t="s">
        <v>29</v>
      </c>
      <c r="H739">
        <v>3351.33</v>
      </c>
      <c r="I739">
        <v>3711.47</v>
      </c>
      <c r="J739" t="s">
        <v>30</v>
      </c>
      <c r="K739" s="5">
        <v>0.16</v>
      </c>
      <c r="L739" t="s">
        <v>18</v>
      </c>
      <c r="M739" t="s">
        <v>22</v>
      </c>
      <c r="N739" t="s">
        <v>48</v>
      </c>
      <c r="O739" t="str">
        <f t="shared" si="33"/>
        <v>March</v>
      </c>
      <c r="P739">
        <f t="shared" si="34"/>
        <v>3</v>
      </c>
      <c r="Q739">
        <f t="shared" si="35"/>
        <v>2023</v>
      </c>
    </row>
    <row r="740" spans="1:17" x14ac:dyDescent="0.25">
      <c r="A740">
        <v>1001</v>
      </c>
      <c r="B740" s="1">
        <v>45282</v>
      </c>
      <c r="C740" t="s">
        <v>24</v>
      </c>
      <c r="D740" t="s">
        <v>21</v>
      </c>
      <c r="E740" s="4">
        <v>8803.94</v>
      </c>
      <c r="F740" s="2">
        <v>45</v>
      </c>
      <c r="G740" t="s">
        <v>29</v>
      </c>
      <c r="H740">
        <v>1372.36</v>
      </c>
      <c r="I740">
        <v>1687.83</v>
      </c>
      <c r="J740" t="s">
        <v>30</v>
      </c>
      <c r="K740" s="5">
        <v>0.02</v>
      </c>
      <c r="L740" t="s">
        <v>31</v>
      </c>
      <c r="M740" t="s">
        <v>19</v>
      </c>
      <c r="N740" t="s">
        <v>47</v>
      </c>
      <c r="O740" t="str">
        <f t="shared" si="33"/>
        <v>December</v>
      </c>
      <c r="P740">
        <f t="shared" si="34"/>
        <v>12</v>
      </c>
      <c r="Q740">
        <f t="shared" si="35"/>
        <v>2023</v>
      </c>
    </row>
    <row r="741" spans="1:17" x14ac:dyDescent="0.25">
      <c r="A741">
        <v>1054</v>
      </c>
      <c r="B741" s="1">
        <v>45184</v>
      </c>
      <c r="C741" t="s">
        <v>14</v>
      </c>
      <c r="D741" t="s">
        <v>25</v>
      </c>
      <c r="E741" s="4">
        <v>2509.63</v>
      </c>
      <c r="F741" s="2">
        <v>16</v>
      </c>
      <c r="G741" t="s">
        <v>35</v>
      </c>
      <c r="H741">
        <v>4557.79</v>
      </c>
      <c r="I741">
        <v>5043.3599999999997</v>
      </c>
      <c r="J741" t="s">
        <v>17</v>
      </c>
      <c r="K741" s="5">
        <v>0.14000000000000001</v>
      </c>
      <c r="L741" t="s">
        <v>31</v>
      </c>
      <c r="M741" t="s">
        <v>22</v>
      </c>
      <c r="N741" t="s">
        <v>32</v>
      </c>
      <c r="O741" t="str">
        <f t="shared" si="33"/>
        <v>September</v>
      </c>
      <c r="P741">
        <f t="shared" si="34"/>
        <v>9</v>
      </c>
      <c r="Q741">
        <f t="shared" si="35"/>
        <v>2023</v>
      </c>
    </row>
    <row r="742" spans="1:17" x14ac:dyDescent="0.25">
      <c r="A742">
        <v>1003</v>
      </c>
      <c r="B742" s="1">
        <v>45132</v>
      </c>
      <c r="C742" t="s">
        <v>38</v>
      </c>
      <c r="D742" t="s">
        <v>21</v>
      </c>
      <c r="E742" s="4">
        <v>5617.64</v>
      </c>
      <c r="F742" s="2">
        <v>5</v>
      </c>
      <c r="G742" t="s">
        <v>26</v>
      </c>
      <c r="H742">
        <v>2206.58</v>
      </c>
      <c r="I742">
        <v>2490.4699999999998</v>
      </c>
      <c r="J742" t="s">
        <v>30</v>
      </c>
      <c r="K742" s="5">
        <v>0.28000000000000003</v>
      </c>
      <c r="L742" t="s">
        <v>18</v>
      </c>
      <c r="M742" t="s">
        <v>19</v>
      </c>
      <c r="N742" t="s">
        <v>41</v>
      </c>
      <c r="O742" t="str">
        <f t="shared" si="33"/>
        <v>July</v>
      </c>
      <c r="P742">
        <f t="shared" si="34"/>
        <v>7</v>
      </c>
      <c r="Q742">
        <f t="shared" si="35"/>
        <v>2023</v>
      </c>
    </row>
    <row r="743" spans="1:17" x14ac:dyDescent="0.25">
      <c r="A743">
        <v>1016</v>
      </c>
      <c r="B743" s="1">
        <v>45003</v>
      </c>
      <c r="C743" t="s">
        <v>24</v>
      </c>
      <c r="D743" t="s">
        <v>25</v>
      </c>
      <c r="E743" s="4">
        <v>485.9</v>
      </c>
      <c r="F743" s="2">
        <v>4</v>
      </c>
      <c r="G743" t="s">
        <v>26</v>
      </c>
      <c r="H743">
        <v>688.98</v>
      </c>
      <c r="I743">
        <v>863.81</v>
      </c>
      <c r="J743" t="s">
        <v>30</v>
      </c>
      <c r="K743" s="5">
        <v>0.27</v>
      </c>
      <c r="L743" t="s">
        <v>31</v>
      </c>
      <c r="M743" t="s">
        <v>22</v>
      </c>
      <c r="N743" t="s">
        <v>28</v>
      </c>
      <c r="O743" t="str">
        <f t="shared" si="33"/>
        <v>March</v>
      </c>
      <c r="P743">
        <f t="shared" si="34"/>
        <v>3</v>
      </c>
      <c r="Q743">
        <f t="shared" si="35"/>
        <v>2023</v>
      </c>
    </row>
    <row r="744" spans="1:17" x14ac:dyDescent="0.25">
      <c r="A744">
        <v>1087</v>
      </c>
      <c r="B744" s="1">
        <v>44938</v>
      </c>
      <c r="C744" t="s">
        <v>33</v>
      </c>
      <c r="D744" t="s">
        <v>15</v>
      </c>
      <c r="E744" s="4">
        <v>6701.79</v>
      </c>
      <c r="F744" s="2">
        <v>21</v>
      </c>
      <c r="G744" t="s">
        <v>26</v>
      </c>
      <c r="H744">
        <v>3724.38</v>
      </c>
      <c r="I744">
        <v>3988.7</v>
      </c>
      <c r="J744" t="s">
        <v>30</v>
      </c>
      <c r="K744" s="5">
        <v>0.03</v>
      </c>
      <c r="L744" t="s">
        <v>27</v>
      </c>
      <c r="M744" t="s">
        <v>22</v>
      </c>
      <c r="N744" t="s">
        <v>53</v>
      </c>
      <c r="O744" t="str">
        <f t="shared" si="33"/>
        <v>January</v>
      </c>
      <c r="P744">
        <f t="shared" si="34"/>
        <v>1</v>
      </c>
      <c r="Q744">
        <f t="shared" si="35"/>
        <v>2023</v>
      </c>
    </row>
    <row r="745" spans="1:17" x14ac:dyDescent="0.25">
      <c r="A745">
        <v>1057</v>
      </c>
      <c r="B745" s="1">
        <v>45221</v>
      </c>
      <c r="C745" t="s">
        <v>38</v>
      </c>
      <c r="D745" t="s">
        <v>25</v>
      </c>
      <c r="E745" s="4">
        <v>3297.97</v>
      </c>
      <c r="F745" s="2">
        <v>40</v>
      </c>
      <c r="G745" t="s">
        <v>29</v>
      </c>
      <c r="H745">
        <v>3233.37</v>
      </c>
      <c r="I745">
        <v>3723.21</v>
      </c>
      <c r="J745" t="s">
        <v>30</v>
      </c>
      <c r="K745" s="5">
        <v>0.22</v>
      </c>
      <c r="L745" t="s">
        <v>27</v>
      </c>
      <c r="M745" t="s">
        <v>22</v>
      </c>
      <c r="N745" t="s">
        <v>39</v>
      </c>
      <c r="O745" t="str">
        <f t="shared" si="33"/>
        <v>October</v>
      </c>
      <c r="P745">
        <f t="shared" si="34"/>
        <v>10</v>
      </c>
      <c r="Q745">
        <f t="shared" si="35"/>
        <v>2023</v>
      </c>
    </row>
    <row r="746" spans="1:17" x14ac:dyDescent="0.25">
      <c r="A746">
        <v>1075</v>
      </c>
      <c r="B746" s="1">
        <v>45150</v>
      </c>
      <c r="C746" t="s">
        <v>24</v>
      </c>
      <c r="D746" t="s">
        <v>34</v>
      </c>
      <c r="E746" s="4">
        <v>8989.4</v>
      </c>
      <c r="F746" s="2">
        <v>14</v>
      </c>
      <c r="G746" t="s">
        <v>16</v>
      </c>
      <c r="H746">
        <v>1612.93</v>
      </c>
      <c r="I746">
        <v>1964.15</v>
      </c>
      <c r="J746" t="s">
        <v>17</v>
      </c>
      <c r="K746" s="5">
        <v>0.24</v>
      </c>
      <c r="L746" t="s">
        <v>27</v>
      </c>
      <c r="M746" t="s">
        <v>22</v>
      </c>
      <c r="N746" t="s">
        <v>50</v>
      </c>
      <c r="O746" t="str">
        <f t="shared" si="33"/>
        <v>August</v>
      </c>
      <c r="P746">
        <f t="shared" si="34"/>
        <v>8</v>
      </c>
      <c r="Q746">
        <f t="shared" si="35"/>
        <v>2023</v>
      </c>
    </row>
    <row r="747" spans="1:17" x14ac:dyDescent="0.25">
      <c r="A747">
        <v>1012</v>
      </c>
      <c r="B747" s="1">
        <v>44939</v>
      </c>
      <c r="C747" t="s">
        <v>42</v>
      </c>
      <c r="D747" t="s">
        <v>34</v>
      </c>
      <c r="E747" s="4">
        <v>8892.3700000000008</v>
      </c>
      <c r="F747" s="2">
        <v>39</v>
      </c>
      <c r="G747" t="s">
        <v>16</v>
      </c>
      <c r="H747">
        <v>3126.52</v>
      </c>
      <c r="I747">
        <v>3465.79</v>
      </c>
      <c r="J747" t="s">
        <v>30</v>
      </c>
      <c r="K747" s="5">
        <v>0.08</v>
      </c>
      <c r="L747" t="s">
        <v>18</v>
      </c>
      <c r="M747" t="s">
        <v>19</v>
      </c>
      <c r="N747" t="s">
        <v>52</v>
      </c>
      <c r="O747" t="str">
        <f t="shared" si="33"/>
        <v>January</v>
      </c>
      <c r="P747">
        <f t="shared" si="34"/>
        <v>1</v>
      </c>
      <c r="Q747">
        <f t="shared" si="35"/>
        <v>2023</v>
      </c>
    </row>
    <row r="748" spans="1:17" x14ac:dyDescent="0.25">
      <c r="A748">
        <v>1074</v>
      </c>
      <c r="B748" s="1">
        <v>44972</v>
      </c>
      <c r="C748" t="s">
        <v>42</v>
      </c>
      <c r="D748" t="s">
        <v>25</v>
      </c>
      <c r="E748" s="4">
        <v>3320.38</v>
      </c>
      <c r="F748" s="2">
        <v>31</v>
      </c>
      <c r="G748" t="s">
        <v>16</v>
      </c>
      <c r="H748">
        <v>1138.32</v>
      </c>
      <c r="I748">
        <v>1266.25</v>
      </c>
      <c r="J748" t="s">
        <v>17</v>
      </c>
      <c r="K748" s="5">
        <v>0.14000000000000001</v>
      </c>
      <c r="L748" t="s">
        <v>18</v>
      </c>
      <c r="M748" t="s">
        <v>22</v>
      </c>
      <c r="N748" t="s">
        <v>43</v>
      </c>
      <c r="O748" t="str">
        <f t="shared" si="33"/>
        <v>February</v>
      </c>
      <c r="P748">
        <f t="shared" si="34"/>
        <v>2</v>
      </c>
      <c r="Q748">
        <f t="shared" si="35"/>
        <v>2023</v>
      </c>
    </row>
    <row r="749" spans="1:17" x14ac:dyDescent="0.25">
      <c r="A749">
        <v>1096</v>
      </c>
      <c r="B749" s="1">
        <v>45081</v>
      </c>
      <c r="C749" t="s">
        <v>14</v>
      </c>
      <c r="D749" t="s">
        <v>25</v>
      </c>
      <c r="E749" s="4">
        <v>9019.51</v>
      </c>
      <c r="F749" s="2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 s="5">
        <v>0.21</v>
      </c>
      <c r="L749" t="s">
        <v>31</v>
      </c>
      <c r="M749" t="s">
        <v>19</v>
      </c>
      <c r="N749" t="s">
        <v>32</v>
      </c>
      <c r="O749" t="str">
        <f t="shared" si="33"/>
        <v>June</v>
      </c>
      <c r="P749">
        <f t="shared" si="34"/>
        <v>6</v>
      </c>
      <c r="Q749">
        <f t="shared" si="35"/>
        <v>2023</v>
      </c>
    </row>
    <row r="750" spans="1:17" x14ac:dyDescent="0.25">
      <c r="A750">
        <v>1016</v>
      </c>
      <c r="B750" s="1">
        <v>45039</v>
      </c>
      <c r="C750" t="s">
        <v>24</v>
      </c>
      <c r="D750" t="s">
        <v>25</v>
      </c>
      <c r="E750" s="4">
        <v>9961.9599999999991</v>
      </c>
      <c r="F750" s="2">
        <v>6</v>
      </c>
      <c r="G750" t="s">
        <v>16</v>
      </c>
      <c r="H750">
        <v>4502.09</v>
      </c>
      <c r="I750">
        <v>4879.72</v>
      </c>
      <c r="J750" t="s">
        <v>30</v>
      </c>
      <c r="K750" s="5">
        <v>0.13</v>
      </c>
      <c r="L750" t="s">
        <v>31</v>
      </c>
      <c r="M750" t="s">
        <v>19</v>
      </c>
      <c r="N750" t="s">
        <v>28</v>
      </c>
      <c r="O750" t="str">
        <f t="shared" si="33"/>
        <v>April</v>
      </c>
      <c r="P750">
        <f t="shared" si="34"/>
        <v>4</v>
      </c>
      <c r="Q750">
        <f t="shared" si="35"/>
        <v>2023</v>
      </c>
    </row>
    <row r="751" spans="1:17" x14ac:dyDescent="0.25">
      <c r="A751">
        <v>1072</v>
      </c>
      <c r="B751" s="1">
        <v>45159</v>
      </c>
      <c r="C751" t="s">
        <v>42</v>
      </c>
      <c r="D751" t="s">
        <v>21</v>
      </c>
      <c r="E751" s="4">
        <v>8271.6200000000008</v>
      </c>
      <c r="F751" s="2">
        <v>12</v>
      </c>
      <c r="G751" t="s">
        <v>29</v>
      </c>
      <c r="H751">
        <v>710.99</v>
      </c>
      <c r="I751">
        <v>876.46</v>
      </c>
      <c r="J751" t="s">
        <v>17</v>
      </c>
      <c r="K751" s="5">
        <v>0.03</v>
      </c>
      <c r="L751" t="s">
        <v>31</v>
      </c>
      <c r="M751" t="s">
        <v>19</v>
      </c>
      <c r="N751" t="s">
        <v>51</v>
      </c>
      <c r="O751" t="str">
        <f t="shared" si="33"/>
        <v>August</v>
      </c>
      <c r="P751">
        <f t="shared" si="34"/>
        <v>8</v>
      </c>
      <c r="Q751">
        <f t="shared" si="35"/>
        <v>2023</v>
      </c>
    </row>
    <row r="752" spans="1:17" x14ac:dyDescent="0.25">
      <c r="A752">
        <v>1076</v>
      </c>
      <c r="B752" s="1">
        <v>44943</v>
      </c>
      <c r="C752" t="s">
        <v>33</v>
      </c>
      <c r="D752" t="s">
        <v>25</v>
      </c>
      <c r="E752" s="4">
        <v>8464.23</v>
      </c>
      <c r="F752" s="2">
        <v>16</v>
      </c>
      <c r="G752" t="s">
        <v>29</v>
      </c>
      <c r="H752">
        <v>1964.15</v>
      </c>
      <c r="I752">
        <v>2211.17</v>
      </c>
      <c r="J752" t="s">
        <v>17</v>
      </c>
      <c r="K752" s="5">
        <v>0.21</v>
      </c>
      <c r="L752" t="s">
        <v>27</v>
      </c>
      <c r="M752" t="s">
        <v>19</v>
      </c>
      <c r="N752" t="s">
        <v>44</v>
      </c>
      <c r="O752" t="str">
        <f t="shared" si="33"/>
        <v>January</v>
      </c>
      <c r="P752">
        <f t="shared" si="34"/>
        <v>1</v>
      </c>
      <c r="Q752">
        <f t="shared" si="35"/>
        <v>2023</v>
      </c>
    </row>
    <row r="753" spans="1:17" x14ac:dyDescent="0.25">
      <c r="A753">
        <v>1024</v>
      </c>
      <c r="B753" s="1">
        <v>45286</v>
      </c>
      <c r="C753" t="s">
        <v>24</v>
      </c>
      <c r="D753" t="s">
        <v>15</v>
      </c>
      <c r="E753" s="4">
        <v>2565.19</v>
      </c>
      <c r="F753" s="2">
        <v>17</v>
      </c>
      <c r="G753" t="s">
        <v>16</v>
      </c>
      <c r="H753">
        <v>4114.66</v>
      </c>
      <c r="I753">
        <v>4269.0199999999904</v>
      </c>
      <c r="J753" t="s">
        <v>17</v>
      </c>
      <c r="K753" s="5">
        <v>0.27</v>
      </c>
      <c r="L753" t="s">
        <v>27</v>
      </c>
      <c r="M753" t="s">
        <v>22</v>
      </c>
      <c r="N753" t="s">
        <v>45</v>
      </c>
      <c r="O753" t="str">
        <f t="shared" si="33"/>
        <v>December</v>
      </c>
      <c r="P753">
        <f t="shared" si="34"/>
        <v>12</v>
      </c>
      <c r="Q753">
        <f t="shared" si="35"/>
        <v>2023</v>
      </c>
    </row>
    <row r="754" spans="1:17" x14ac:dyDescent="0.25">
      <c r="A754">
        <v>1028</v>
      </c>
      <c r="B754" s="1">
        <v>45149</v>
      </c>
      <c r="C754" t="s">
        <v>33</v>
      </c>
      <c r="D754" t="s">
        <v>21</v>
      </c>
      <c r="E754" s="4">
        <v>5809.35</v>
      </c>
      <c r="F754" s="2">
        <v>45</v>
      </c>
      <c r="G754" t="s">
        <v>29</v>
      </c>
      <c r="H754">
        <v>4848.9799999999996</v>
      </c>
      <c r="I754">
        <v>4985.75</v>
      </c>
      <c r="J754" t="s">
        <v>17</v>
      </c>
      <c r="K754" s="5">
        <v>0.2</v>
      </c>
      <c r="L754" t="s">
        <v>27</v>
      </c>
      <c r="M754" t="s">
        <v>19</v>
      </c>
      <c r="N754" t="s">
        <v>37</v>
      </c>
      <c r="O754" t="str">
        <f t="shared" si="33"/>
        <v>August</v>
      </c>
      <c r="P754">
        <f t="shared" si="34"/>
        <v>8</v>
      </c>
      <c r="Q754">
        <f t="shared" si="35"/>
        <v>2023</v>
      </c>
    </row>
    <row r="755" spans="1:17" x14ac:dyDescent="0.25">
      <c r="A755">
        <v>1008</v>
      </c>
      <c r="B755" s="1">
        <v>45280</v>
      </c>
      <c r="C755" t="s">
        <v>33</v>
      </c>
      <c r="D755" t="s">
        <v>21</v>
      </c>
      <c r="E755" s="4">
        <v>765.83</v>
      </c>
      <c r="F755" s="2">
        <v>23</v>
      </c>
      <c r="G755" t="s">
        <v>29</v>
      </c>
      <c r="H755">
        <v>2296.9299999999998</v>
      </c>
      <c r="I755">
        <v>2319.62</v>
      </c>
      <c r="J755" t="s">
        <v>17</v>
      </c>
      <c r="K755" s="5">
        <v>0.23</v>
      </c>
      <c r="L755" t="s">
        <v>27</v>
      </c>
      <c r="M755" t="s">
        <v>22</v>
      </c>
      <c r="N755" t="s">
        <v>37</v>
      </c>
      <c r="O755" t="str">
        <f t="shared" si="33"/>
        <v>December</v>
      </c>
      <c r="P755">
        <f t="shared" si="34"/>
        <v>12</v>
      </c>
      <c r="Q755">
        <f t="shared" si="35"/>
        <v>2023</v>
      </c>
    </row>
    <row r="756" spans="1:17" x14ac:dyDescent="0.25">
      <c r="A756">
        <v>1092</v>
      </c>
      <c r="B756" s="1">
        <v>45114</v>
      </c>
      <c r="C756" t="s">
        <v>42</v>
      </c>
      <c r="D756" t="s">
        <v>25</v>
      </c>
      <c r="E756" s="4">
        <v>1039.69</v>
      </c>
      <c r="F756" s="2">
        <v>14</v>
      </c>
      <c r="G756" t="s">
        <v>16</v>
      </c>
      <c r="H756">
        <v>2559.65</v>
      </c>
      <c r="I756">
        <v>2709.4</v>
      </c>
      <c r="J756" t="s">
        <v>17</v>
      </c>
      <c r="K756" s="5">
        <v>0.11</v>
      </c>
      <c r="L756" t="s">
        <v>31</v>
      </c>
      <c r="M756" t="s">
        <v>22</v>
      </c>
      <c r="N756" t="s">
        <v>43</v>
      </c>
      <c r="O756" t="str">
        <f t="shared" si="33"/>
        <v>July</v>
      </c>
      <c r="P756">
        <f t="shared" si="34"/>
        <v>7</v>
      </c>
      <c r="Q756">
        <f t="shared" si="35"/>
        <v>2023</v>
      </c>
    </row>
    <row r="757" spans="1:17" x14ac:dyDescent="0.25">
      <c r="A757">
        <v>1036</v>
      </c>
      <c r="B757" s="1">
        <v>45270</v>
      </c>
      <c r="C757" t="s">
        <v>24</v>
      </c>
      <c r="D757" t="s">
        <v>15</v>
      </c>
      <c r="E757" s="4">
        <v>9989.0400000000009</v>
      </c>
      <c r="F757" s="2">
        <v>7</v>
      </c>
      <c r="G757" t="s">
        <v>26</v>
      </c>
      <c r="H757">
        <v>2882.25</v>
      </c>
      <c r="I757">
        <v>3163.7</v>
      </c>
      <c r="J757" t="s">
        <v>17</v>
      </c>
      <c r="K757" s="5">
        <v>0.05</v>
      </c>
      <c r="L757" t="s">
        <v>18</v>
      </c>
      <c r="M757" t="s">
        <v>22</v>
      </c>
      <c r="N757" t="s">
        <v>45</v>
      </c>
      <c r="O757" t="str">
        <f t="shared" si="33"/>
        <v>December</v>
      </c>
      <c r="P757">
        <f t="shared" si="34"/>
        <v>12</v>
      </c>
      <c r="Q757">
        <f t="shared" si="35"/>
        <v>2023</v>
      </c>
    </row>
    <row r="758" spans="1:17" x14ac:dyDescent="0.25">
      <c r="A758">
        <v>1090</v>
      </c>
      <c r="B758" s="1">
        <v>45291</v>
      </c>
      <c r="C758" t="s">
        <v>38</v>
      </c>
      <c r="D758" t="s">
        <v>21</v>
      </c>
      <c r="E758" s="4">
        <v>3333.73</v>
      </c>
      <c r="F758" s="2">
        <v>46</v>
      </c>
      <c r="G758" t="s">
        <v>29</v>
      </c>
      <c r="H758">
        <v>4665.12</v>
      </c>
      <c r="I758">
        <v>4675.8999999999996</v>
      </c>
      <c r="J758" t="s">
        <v>30</v>
      </c>
      <c r="K758" s="5">
        <v>0.19</v>
      </c>
      <c r="L758" t="s">
        <v>18</v>
      </c>
      <c r="M758" t="s">
        <v>22</v>
      </c>
      <c r="N758" t="s">
        <v>41</v>
      </c>
      <c r="O758" t="str">
        <f t="shared" si="33"/>
        <v>December</v>
      </c>
      <c r="P758">
        <f t="shared" si="34"/>
        <v>12</v>
      </c>
      <c r="Q758">
        <f t="shared" si="35"/>
        <v>2023</v>
      </c>
    </row>
    <row r="759" spans="1:17" x14ac:dyDescent="0.25">
      <c r="A759">
        <v>1008</v>
      </c>
      <c r="B759" s="1">
        <v>45089</v>
      </c>
      <c r="C759" t="s">
        <v>42</v>
      </c>
      <c r="D759" t="s">
        <v>34</v>
      </c>
      <c r="E759" s="4">
        <v>7507.02</v>
      </c>
      <c r="F759" s="2">
        <v>32</v>
      </c>
      <c r="G759" t="s">
        <v>26</v>
      </c>
      <c r="H759">
        <v>4298.12</v>
      </c>
      <c r="I759">
        <v>4446.8999999999996</v>
      </c>
      <c r="J759" t="s">
        <v>30</v>
      </c>
      <c r="K759" s="5">
        <v>0.1</v>
      </c>
      <c r="L759" t="s">
        <v>27</v>
      </c>
      <c r="M759" t="s">
        <v>19</v>
      </c>
      <c r="N759" t="s">
        <v>52</v>
      </c>
      <c r="O759" t="str">
        <f t="shared" si="33"/>
        <v>June</v>
      </c>
      <c r="P759">
        <f t="shared" si="34"/>
        <v>6</v>
      </c>
      <c r="Q759">
        <f t="shared" si="35"/>
        <v>2023</v>
      </c>
    </row>
    <row r="760" spans="1:17" x14ac:dyDescent="0.25">
      <c r="A760">
        <v>1058</v>
      </c>
      <c r="B760" s="1">
        <v>45252</v>
      </c>
      <c r="C760" t="s">
        <v>42</v>
      </c>
      <c r="D760" t="s">
        <v>21</v>
      </c>
      <c r="E760" s="4">
        <v>8085.98</v>
      </c>
      <c r="F760" s="2">
        <v>15</v>
      </c>
      <c r="G760" t="s">
        <v>29</v>
      </c>
      <c r="H760">
        <v>894.48</v>
      </c>
      <c r="I760">
        <v>1336.37</v>
      </c>
      <c r="J760" t="s">
        <v>17</v>
      </c>
      <c r="K760" s="5">
        <v>0.26</v>
      </c>
      <c r="L760" t="s">
        <v>18</v>
      </c>
      <c r="M760" t="s">
        <v>22</v>
      </c>
      <c r="N760" t="s">
        <v>51</v>
      </c>
      <c r="O760" t="str">
        <f t="shared" si="33"/>
        <v>November</v>
      </c>
      <c r="P760">
        <f t="shared" si="34"/>
        <v>11</v>
      </c>
      <c r="Q760">
        <f t="shared" si="35"/>
        <v>2023</v>
      </c>
    </row>
    <row r="761" spans="1:17" x14ac:dyDescent="0.25">
      <c r="A761">
        <v>1060</v>
      </c>
      <c r="B761" s="1">
        <v>45000</v>
      </c>
      <c r="C761" t="s">
        <v>24</v>
      </c>
      <c r="D761" t="s">
        <v>25</v>
      </c>
      <c r="E761" s="4">
        <v>8594.43</v>
      </c>
      <c r="F761" s="2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 s="5">
        <v>0.04</v>
      </c>
      <c r="L761" t="s">
        <v>18</v>
      </c>
      <c r="M761" t="s">
        <v>19</v>
      </c>
      <c r="N761" t="s">
        <v>28</v>
      </c>
      <c r="O761" t="str">
        <f t="shared" si="33"/>
        <v>March</v>
      </c>
      <c r="P761">
        <f t="shared" si="34"/>
        <v>3</v>
      </c>
      <c r="Q761">
        <f t="shared" si="35"/>
        <v>2023</v>
      </c>
    </row>
    <row r="762" spans="1:17" x14ac:dyDescent="0.25">
      <c r="A762">
        <v>1050</v>
      </c>
      <c r="B762" s="1">
        <v>45159</v>
      </c>
      <c r="C762" t="s">
        <v>24</v>
      </c>
      <c r="D762" t="s">
        <v>15</v>
      </c>
      <c r="E762" s="4">
        <v>9976.52</v>
      </c>
      <c r="F762" s="2">
        <v>17</v>
      </c>
      <c r="G762" t="s">
        <v>16</v>
      </c>
      <c r="H762">
        <v>2346.8000000000002</v>
      </c>
      <c r="I762">
        <v>2654.65</v>
      </c>
      <c r="J762" t="s">
        <v>30</v>
      </c>
      <c r="K762" s="5">
        <v>0.13</v>
      </c>
      <c r="L762" t="s">
        <v>18</v>
      </c>
      <c r="M762" t="s">
        <v>22</v>
      </c>
      <c r="N762" t="s">
        <v>45</v>
      </c>
      <c r="O762" t="str">
        <f t="shared" si="33"/>
        <v>August</v>
      </c>
      <c r="P762">
        <f t="shared" si="34"/>
        <v>8</v>
      </c>
      <c r="Q762">
        <f t="shared" si="35"/>
        <v>2023</v>
      </c>
    </row>
    <row r="763" spans="1:17" x14ac:dyDescent="0.25">
      <c r="A763">
        <v>1028</v>
      </c>
      <c r="B763" s="1">
        <v>45150</v>
      </c>
      <c r="C763" t="s">
        <v>33</v>
      </c>
      <c r="D763" t="s">
        <v>25</v>
      </c>
      <c r="E763" s="4">
        <v>2490.8200000000002</v>
      </c>
      <c r="F763" s="2">
        <v>41</v>
      </c>
      <c r="G763" t="s">
        <v>29</v>
      </c>
      <c r="H763">
        <v>3956.03</v>
      </c>
      <c r="I763">
        <v>4163.68</v>
      </c>
      <c r="J763" t="s">
        <v>30</v>
      </c>
      <c r="K763" s="5">
        <v>0.12</v>
      </c>
      <c r="L763" t="s">
        <v>27</v>
      </c>
      <c r="M763" t="s">
        <v>22</v>
      </c>
      <c r="N763" t="s">
        <v>44</v>
      </c>
      <c r="O763" t="str">
        <f t="shared" si="33"/>
        <v>August</v>
      </c>
      <c r="P763">
        <f t="shared" si="34"/>
        <v>8</v>
      </c>
      <c r="Q763">
        <f t="shared" si="35"/>
        <v>2023</v>
      </c>
    </row>
    <row r="764" spans="1:17" x14ac:dyDescent="0.25">
      <c r="A764">
        <v>1092</v>
      </c>
      <c r="B764" s="1">
        <v>45245</v>
      </c>
      <c r="C764" t="s">
        <v>24</v>
      </c>
      <c r="D764" t="s">
        <v>34</v>
      </c>
      <c r="E764" s="4">
        <v>499.47</v>
      </c>
      <c r="F764" s="2">
        <v>47</v>
      </c>
      <c r="G764" t="s">
        <v>35</v>
      </c>
      <c r="H764">
        <v>3034.32</v>
      </c>
      <c r="I764">
        <v>3375.79</v>
      </c>
      <c r="J764" t="s">
        <v>30</v>
      </c>
      <c r="K764" s="5">
        <v>0.28000000000000003</v>
      </c>
      <c r="L764" t="s">
        <v>31</v>
      </c>
      <c r="M764" t="s">
        <v>19</v>
      </c>
      <c r="N764" t="s">
        <v>50</v>
      </c>
      <c r="O764" t="str">
        <f t="shared" si="33"/>
        <v>November</v>
      </c>
      <c r="P764">
        <f t="shared" si="34"/>
        <v>11</v>
      </c>
      <c r="Q764">
        <f t="shared" si="35"/>
        <v>2023</v>
      </c>
    </row>
    <row r="765" spans="1:17" x14ac:dyDescent="0.25">
      <c r="A765">
        <v>1041</v>
      </c>
      <c r="B765" s="1">
        <v>44986</v>
      </c>
      <c r="C765" t="s">
        <v>33</v>
      </c>
      <c r="D765" t="s">
        <v>34</v>
      </c>
      <c r="E765" s="4">
        <v>4170.8</v>
      </c>
      <c r="F765" s="2">
        <v>44</v>
      </c>
      <c r="G765" t="s">
        <v>35</v>
      </c>
      <c r="H765">
        <v>3288.39</v>
      </c>
      <c r="I765">
        <v>3391.46</v>
      </c>
      <c r="J765" t="s">
        <v>30</v>
      </c>
      <c r="K765" s="5">
        <v>0.05</v>
      </c>
      <c r="L765" t="s">
        <v>31</v>
      </c>
      <c r="M765" t="s">
        <v>22</v>
      </c>
      <c r="N765" t="s">
        <v>36</v>
      </c>
      <c r="O765" t="str">
        <f t="shared" si="33"/>
        <v>March</v>
      </c>
      <c r="P765">
        <f t="shared" si="34"/>
        <v>3</v>
      </c>
      <c r="Q765">
        <f t="shared" si="35"/>
        <v>2023</v>
      </c>
    </row>
    <row r="766" spans="1:17" x14ac:dyDescent="0.25">
      <c r="A766">
        <v>1100</v>
      </c>
      <c r="B766" s="1">
        <v>45261</v>
      </c>
      <c r="C766" t="s">
        <v>42</v>
      </c>
      <c r="D766" t="s">
        <v>34</v>
      </c>
      <c r="E766" s="4">
        <v>1387.8</v>
      </c>
      <c r="F766" s="2">
        <v>34</v>
      </c>
      <c r="G766" t="s">
        <v>16</v>
      </c>
      <c r="H766">
        <v>4991.09</v>
      </c>
      <c r="I766">
        <v>5402.28</v>
      </c>
      <c r="J766" t="s">
        <v>17</v>
      </c>
      <c r="K766" s="5">
        <v>0</v>
      </c>
      <c r="L766" t="s">
        <v>18</v>
      </c>
      <c r="M766" t="s">
        <v>22</v>
      </c>
      <c r="N766" t="s">
        <v>52</v>
      </c>
      <c r="O766" t="str">
        <f t="shared" si="33"/>
        <v>December</v>
      </c>
      <c r="P766">
        <f t="shared" si="34"/>
        <v>12</v>
      </c>
      <c r="Q766">
        <f t="shared" si="35"/>
        <v>2023</v>
      </c>
    </row>
    <row r="767" spans="1:17" x14ac:dyDescent="0.25">
      <c r="A767">
        <v>1064</v>
      </c>
      <c r="B767" s="1">
        <v>45148</v>
      </c>
      <c r="C767" t="s">
        <v>14</v>
      </c>
      <c r="D767" t="s">
        <v>25</v>
      </c>
      <c r="E767" s="4">
        <v>322.02</v>
      </c>
      <c r="F767" s="2">
        <v>5</v>
      </c>
      <c r="G767" t="s">
        <v>26</v>
      </c>
      <c r="H767">
        <v>421.05</v>
      </c>
      <c r="I767">
        <v>488.23</v>
      </c>
      <c r="J767" t="s">
        <v>17</v>
      </c>
      <c r="K767" s="5">
        <v>7.0000000000000007E-2</v>
      </c>
      <c r="L767" t="s">
        <v>31</v>
      </c>
      <c r="M767" t="s">
        <v>22</v>
      </c>
      <c r="N767" t="s">
        <v>32</v>
      </c>
      <c r="O767" t="str">
        <f t="shared" si="33"/>
        <v>August</v>
      </c>
      <c r="P767">
        <f t="shared" si="34"/>
        <v>8</v>
      </c>
      <c r="Q767">
        <f t="shared" si="35"/>
        <v>2023</v>
      </c>
    </row>
    <row r="768" spans="1:17" x14ac:dyDescent="0.25">
      <c r="A768">
        <v>1027</v>
      </c>
      <c r="B768" s="1">
        <v>44963</v>
      </c>
      <c r="C768" t="s">
        <v>38</v>
      </c>
      <c r="D768" t="s">
        <v>21</v>
      </c>
      <c r="E768" s="4">
        <v>3668.23</v>
      </c>
      <c r="F768" s="2">
        <v>45</v>
      </c>
      <c r="G768" t="s">
        <v>26</v>
      </c>
      <c r="H768">
        <v>1153.9000000000001</v>
      </c>
      <c r="I768">
        <v>1485.34</v>
      </c>
      <c r="J768" t="s">
        <v>30</v>
      </c>
      <c r="K768" s="5">
        <v>0.25</v>
      </c>
      <c r="L768" t="s">
        <v>31</v>
      </c>
      <c r="M768" t="s">
        <v>22</v>
      </c>
      <c r="N768" t="s">
        <v>41</v>
      </c>
      <c r="O768" t="str">
        <f t="shared" si="33"/>
        <v>February</v>
      </c>
      <c r="P768">
        <f t="shared" si="34"/>
        <v>2</v>
      </c>
      <c r="Q768">
        <f t="shared" si="35"/>
        <v>2023</v>
      </c>
    </row>
    <row r="769" spans="1:17" x14ac:dyDescent="0.25">
      <c r="A769">
        <v>1063</v>
      </c>
      <c r="B769" s="1">
        <v>45204</v>
      </c>
      <c r="C769" t="s">
        <v>42</v>
      </c>
      <c r="D769" t="s">
        <v>25</v>
      </c>
      <c r="E769" s="4">
        <v>7859.01</v>
      </c>
      <c r="F769" s="2">
        <v>27</v>
      </c>
      <c r="G769" t="s">
        <v>26</v>
      </c>
      <c r="H769">
        <v>2069.08</v>
      </c>
      <c r="I769">
        <v>2246.2399999999998</v>
      </c>
      <c r="J769" t="s">
        <v>30</v>
      </c>
      <c r="K769" s="5">
        <v>0.06</v>
      </c>
      <c r="L769" t="s">
        <v>27</v>
      </c>
      <c r="M769" t="s">
        <v>22</v>
      </c>
      <c r="N769" t="s">
        <v>43</v>
      </c>
      <c r="O769" t="str">
        <f t="shared" si="33"/>
        <v>October</v>
      </c>
      <c r="P769">
        <f t="shared" si="34"/>
        <v>10</v>
      </c>
      <c r="Q769">
        <f t="shared" si="35"/>
        <v>2023</v>
      </c>
    </row>
    <row r="770" spans="1:17" x14ac:dyDescent="0.25">
      <c r="A770">
        <v>1017</v>
      </c>
      <c r="B770" s="1">
        <v>45122</v>
      </c>
      <c r="C770" t="s">
        <v>24</v>
      </c>
      <c r="D770" t="s">
        <v>15</v>
      </c>
      <c r="E770" s="4">
        <v>5705.19</v>
      </c>
      <c r="F770" s="2">
        <v>23</v>
      </c>
      <c r="G770" t="s">
        <v>35</v>
      </c>
      <c r="H770">
        <v>1771.52</v>
      </c>
      <c r="I770">
        <v>2147.8000000000002</v>
      </c>
      <c r="J770" t="s">
        <v>30</v>
      </c>
      <c r="K770" s="5">
        <v>7.0000000000000007E-2</v>
      </c>
      <c r="L770" t="s">
        <v>27</v>
      </c>
      <c r="M770" t="s">
        <v>19</v>
      </c>
      <c r="N770" t="s">
        <v>45</v>
      </c>
      <c r="O770" t="str">
        <f t="shared" ref="O770:O833" si="36">TEXT(B770,"mmmm")</f>
        <v>July</v>
      </c>
      <c r="P770">
        <f t="shared" ref="P770:P833" si="37">MONTH(B770)</f>
        <v>7</v>
      </c>
      <c r="Q770">
        <f t="shared" ref="Q770:Q833" si="38">YEAR(B770)</f>
        <v>2023</v>
      </c>
    </row>
    <row r="771" spans="1:17" x14ac:dyDescent="0.25">
      <c r="A771">
        <v>1073</v>
      </c>
      <c r="B771" s="1">
        <v>45278</v>
      </c>
      <c r="C771" t="s">
        <v>38</v>
      </c>
      <c r="D771" t="s">
        <v>21</v>
      </c>
      <c r="E771" s="4">
        <v>3196.5</v>
      </c>
      <c r="F771" s="2">
        <v>40</v>
      </c>
      <c r="G771" t="s">
        <v>26</v>
      </c>
      <c r="H771">
        <v>157.15</v>
      </c>
      <c r="I771">
        <v>436.53</v>
      </c>
      <c r="J771" t="s">
        <v>30</v>
      </c>
      <c r="K771" s="5">
        <v>0.04</v>
      </c>
      <c r="L771" t="s">
        <v>18</v>
      </c>
      <c r="M771" t="s">
        <v>22</v>
      </c>
      <c r="N771" t="s">
        <v>41</v>
      </c>
      <c r="O771" t="str">
        <f t="shared" si="36"/>
        <v>December</v>
      </c>
      <c r="P771">
        <f t="shared" si="37"/>
        <v>12</v>
      </c>
      <c r="Q771">
        <f t="shared" si="38"/>
        <v>2023</v>
      </c>
    </row>
    <row r="772" spans="1:17" x14ac:dyDescent="0.25">
      <c r="A772">
        <v>1033</v>
      </c>
      <c r="B772" s="1">
        <v>45168</v>
      </c>
      <c r="C772" t="s">
        <v>14</v>
      </c>
      <c r="D772" t="s">
        <v>34</v>
      </c>
      <c r="E772" s="4">
        <v>6577.99</v>
      </c>
      <c r="F772" s="2">
        <v>14</v>
      </c>
      <c r="G772" t="s">
        <v>26</v>
      </c>
      <c r="H772">
        <v>504.3</v>
      </c>
      <c r="I772">
        <v>735.95</v>
      </c>
      <c r="J772" t="s">
        <v>17</v>
      </c>
      <c r="K772" s="5">
        <v>0.21</v>
      </c>
      <c r="L772" t="s">
        <v>18</v>
      </c>
      <c r="M772" t="s">
        <v>22</v>
      </c>
      <c r="N772" t="s">
        <v>46</v>
      </c>
      <c r="O772" t="str">
        <f t="shared" si="36"/>
        <v>August</v>
      </c>
      <c r="P772">
        <f t="shared" si="37"/>
        <v>8</v>
      </c>
      <c r="Q772">
        <f t="shared" si="38"/>
        <v>2023</v>
      </c>
    </row>
    <row r="773" spans="1:17" x14ac:dyDescent="0.25">
      <c r="A773">
        <v>1084</v>
      </c>
      <c r="B773" s="1">
        <v>45250</v>
      </c>
      <c r="C773" t="s">
        <v>14</v>
      </c>
      <c r="D773" t="s">
        <v>25</v>
      </c>
      <c r="E773" s="4">
        <v>2396.98</v>
      </c>
      <c r="F773" s="2">
        <v>15</v>
      </c>
      <c r="G773" t="s">
        <v>16</v>
      </c>
      <c r="H773">
        <v>3420.72</v>
      </c>
      <c r="I773">
        <v>3513.74</v>
      </c>
      <c r="J773" t="s">
        <v>30</v>
      </c>
      <c r="K773" s="5">
        <v>0.02</v>
      </c>
      <c r="L773" t="s">
        <v>18</v>
      </c>
      <c r="M773" t="s">
        <v>19</v>
      </c>
      <c r="N773" t="s">
        <v>32</v>
      </c>
      <c r="O773" t="str">
        <f t="shared" si="36"/>
        <v>November</v>
      </c>
      <c r="P773">
        <f t="shared" si="37"/>
        <v>11</v>
      </c>
      <c r="Q773">
        <f t="shared" si="38"/>
        <v>2023</v>
      </c>
    </row>
    <row r="774" spans="1:17" x14ac:dyDescent="0.25">
      <c r="A774">
        <v>1077</v>
      </c>
      <c r="B774" s="1">
        <v>45145</v>
      </c>
      <c r="C774" t="s">
        <v>33</v>
      </c>
      <c r="D774" t="s">
        <v>34</v>
      </c>
      <c r="E774" s="4">
        <v>242.38</v>
      </c>
      <c r="F774" s="2">
        <v>43</v>
      </c>
      <c r="G774" t="s">
        <v>26</v>
      </c>
      <c r="H774">
        <v>4402.66</v>
      </c>
      <c r="I774">
        <v>4724.7</v>
      </c>
      <c r="J774" t="s">
        <v>30</v>
      </c>
      <c r="K774" s="5">
        <v>0.1</v>
      </c>
      <c r="L774" t="s">
        <v>27</v>
      </c>
      <c r="M774" t="s">
        <v>22</v>
      </c>
      <c r="N774" t="s">
        <v>36</v>
      </c>
      <c r="O774" t="str">
        <f t="shared" si="36"/>
        <v>August</v>
      </c>
      <c r="P774">
        <f t="shared" si="37"/>
        <v>8</v>
      </c>
      <c r="Q774">
        <f t="shared" si="38"/>
        <v>2023</v>
      </c>
    </row>
    <row r="775" spans="1:17" x14ac:dyDescent="0.25">
      <c r="A775">
        <v>1092</v>
      </c>
      <c r="B775" s="1">
        <v>45118</v>
      </c>
      <c r="C775" t="s">
        <v>38</v>
      </c>
      <c r="D775" t="s">
        <v>34</v>
      </c>
      <c r="E775" s="4">
        <v>7667.1</v>
      </c>
      <c r="F775" s="2">
        <v>33</v>
      </c>
      <c r="G775" t="s">
        <v>35</v>
      </c>
      <c r="H775">
        <v>2595.42</v>
      </c>
      <c r="I775">
        <v>3083.06</v>
      </c>
      <c r="J775" t="s">
        <v>30</v>
      </c>
      <c r="K775" s="5">
        <v>0.08</v>
      </c>
      <c r="L775" t="s">
        <v>31</v>
      </c>
      <c r="M775" t="s">
        <v>19</v>
      </c>
      <c r="N775" t="s">
        <v>48</v>
      </c>
      <c r="O775" t="str">
        <f t="shared" si="36"/>
        <v>July</v>
      </c>
      <c r="P775">
        <f t="shared" si="37"/>
        <v>7</v>
      </c>
      <c r="Q775">
        <f t="shared" si="38"/>
        <v>2023</v>
      </c>
    </row>
    <row r="776" spans="1:17" x14ac:dyDescent="0.25">
      <c r="A776">
        <v>1029</v>
      </c>
      <c r="B776" s="1">
        <v>44943</v>
      </c>
      <c r="C776" t="s">
        <v>33</v>
      </c>
      <c r="D776" t="s">
        <v>15</v>
      </c>
      <c r="E776" s="4">
        <v>6275.06</v>
      </c>
      <c r="F776" s="2">
        <v>31</v>
      </c>
      <c r="G776" t="s">
        <v>35</v>
      </c>
      <c r="H776">
        <v>2719</v>
      </c>
      <c r="I776">
        <v>3133.55</v>
      </c>
      <c r="J776" t="s">
        <v>17</v>
      </c>
      <c r="K776" s="5">
        <v>0.17</v>
      </c>
      <c r="L776" t="s">
        <v>27</v>
      </c>
      <c r="M776" t="s">
        <v>22</v>
      </c>
      <c r="N776" t="s">
        <v>53</v>
      </c>
      <c r="O776" t="str">
        <f t="shared" si="36"/>
        <v>January</v>
      </c>
      <c r="P776">
        <f t="shared" si="37"/>
        <v>1</v>
      </c>
      <c r="Q776">
        <f t="shared" si="38"/>
        <v>2023</v>
      </c>
    </row>
    <row r="777" spans="1:17" x14ac:dyDescent="0.25">
      <c r="A777">
        <v>1013</v>
      </c>
      <c r="B777" s="1">
        <v>44938</v>
      </c>
      <c r="C777" t="s">
        <v>42</v>
      </c>
      <c r="D777" t="s">
        <v>21</v>
      </c>
      <c r="E777" s="4">
        <v>7646.8</v>
      </c>
      <c r="F777" s="2">
        <v>35</v>
      </c>
      <c r="G777" t="s">
        <v>35</v>
      </c>
      <c r="H777">
        <v>1312.71</v>
      </c>
      <c r="I777">
        <v>1352.11</v>
      </c>
      <c r="J777" t="s">
        <v>17</v>
      </c>
      <c r="K777" s="5">
        <v>0.22</v>
      </c>
      <c r="L777" t="s">
        <v>27</v>
      </c>
      <c r="M777" t="s">
        <v>22</v>
      </c>
      <c r="N777" t="s">
        <v>51</v>
      </c>
      <c r="O777" t="str">
        <f t="shared" si="36"/>
        <v>January</v>
      </c>
      <c r="P777">
        <f t="shared" si="37"/>
        <v>1</v>
      </c>
      <c r="Q777">
        <f t="shared" si="38"/>
        <v>2023</v>
      </c>
    </row>
    <row r="778" spans="1:17" x14ac:dyDescent="0.25">
      <c r="A778">
        <v>1046</v>
      </c>
      <c r="B778" s="1">
        <v>45119</v>
      </c>
      <c r="C778" t="s">
        <v>38</v>
      </c>
      <c r="D778" t="s">
        <v>15</v>
      </c>
      <c r="E778" s="4">
        <v>485.49</v>
      </c>
      <c r="F778" s="2">
        <v>17</v>
      </c>
      <c r="G778" t="s">
        <v>16</v>
      </c>
      <c r="H778">
        <v>3850.99</v>
      </c>
      <c r="I778">
        <v>4045.3399999999901</v>
      </c>
      <c r="J778" t="s">
        <v>17</v>
      </c>
      <c r="K778" s="5">
        <v>0.16</v>
      </c>
      <c r="L778" t="s">
        <v>31</v>
      </c>
      <c r="M778" t="s">
        <v>19</v>
      </c>
      <c r="N778" t="s">
        <v>40</v>
      </c>
      <c r="O778" t="str">
        <f t="shared" si="36"/>
        <v>July</v>
      </c>
      <c r="P778">
        <f t="shared" si="37"/>
        <v>7</v>
      </c>
      <c r="Q778">
        <f t="shared" si="38"/>
        <v>2023</v>
      </c>
    </row>
    <row r="779" spans="1:17" x14ac:dyDescent="0.25">
      <c r="A779">
        <v>1035</v>
      </c>
      <c r="B779" s="1">
        <v>44948</v>
      </c>
      <c r="C779" t="s">
        <v>42</v>
      </c>
      <c r="D779" t="s">
        <v>15</v>
      </c>
      <c r="E779" s="4">
        <v>8387.48</v>
      </c>
      <c r="F779" s="2">
        <v>28</v>
      </c>
      <c r="G779" t="s">
        <v>16</v>
      </c>
      <c r="H779">
        <v>3771.38</v>
      </c>
      <c r="I779">
        <v>4234.92</v>
      </c>
      <c r="J779" t="s">
        <v>30</v>
      </c>
      <c r="K779" s="5">
        <v>0.28000000000000003</v>
      </c>
      <c r="L779" t="s">
        <v>31</v>
      </c>
      <c r="M779" t="s">
        <v>22</v>
      </c>
      <c r="N779" t="s">
        <v>49</v>
      </c>
      <c r="O779" t="str">
        <f t="shared" si="36"/>
        <v>January</v>
      </c>
      <c r="P779">
        <f t="shared" si="37"/>
        <v>1</v>
      </c>
      <c r="Q779">
        <f t="shared" si="38"/>
        <v>2023</v>
      </c>
    </row>
    <row r="780" spans="1:17" x14ac:dyDescent="0.25">
      <c r="A780">
        <v>1006</v>
      </c>
      <c r="B780" s="1">
        <v>45046</v>
      </c>
      <c r="C780" t="s">
        <v>33</v>
      </c>
      <c r="D780" t="s">
        <v>15</v>
      </c>
      <c r="E780" s="4">
        <v>6233.31</v>
      </c>
      <c r="F780" s="2">
        <v>19</v>
      </c>
      <c r="G780" t="s">
        <v>29</v>
      </c>
      <c r="H780">
        <v>2962.41</v>
      </c>
      <c r="I780">
        <v>3218.8999999999901</v>
      </c>
      <c r="J780" t="s">
        <v>30</v>
      </c>
      <c r="K780" s="5">
        <v>0.28999999999999998</v>
      </c>
      <c r="L780" t="s">
        <v>18</v>
      </c>
      <c r="M780" t="s">
        <v>22</v>
      </c>
      <c r="N780" t="s">
        <v>53</v>
      </c>
      <c r="O780" t="str">
        <f t="shared" si="36"/>
        <v>April</v>
      </c>
      <c r="P780">
        <f t="shared" si="37"/>
        <v>4</v>
      </c>
      <c r="Q780">
        <f t="shared" si="38"/>
        <v>2023</v>
      </c>
    </row>
    <row r="781" spans="1:17" x14ac:dyDescent="0.25">
      <c r="A781">
        <v>1082</v>
      </c>
      <c r="B781" s="1">
        <v>45136</v>
      </c>
      <c r="C781" t="s">
        <v>38</v>
      </c>
      <c r="D781" t="s">
        <v>34</v>
      </c>
      <c r="E781" s="4">
        <v>5677.61</v>
      </c>
      <c r="F781" s="2">
        <v>46</v>
      </c>
      <c r="G781" t="s">
        <v>26</v>
      </c>
      <c r="H781">
        <v>1102.69</v>
      </c>
      <c r="I781">
        <v>1437.12</v>
      </c>
      <c r="J781" t="s">
        <v>30</v>
      </c>
      <c r="K781" s="5">
        <v>0.11</v>
      </c>
      <c r="L781" t="s">
        <v>31</v>
      </c>
      <c r="M781" t="s">
        <v>19</v>
      </c>
      <c r="N781" t="s">
        <v>48</v>
      </c>
      <c r="O781" t="str">
        <f t="shared" si="36"/>
        <v>July</v>
      </c>
      <c r="P781">
        <f t="shared" si="37"/>
        <v>7</v>
      </c>
      <c r="Q781">
        <f t="shared" si="38"/>
        <v>2023</v>
      </c>
    </row>
    <row r="782" spans="1:17" x14ac:dyDescent="0.25">
      <c r="A782">
        <v>1069</v>
      </c>
      <c r="B782" s="1">
        <v>45232</v>
      </c>
      <c r="C782" t="s">
        <v>33</v>
      </c>
      <c r="D782" t="s">
        <v>15</v>
      </c>
      <c r="E782" s="4">
        <v>6283.68</v>
      </c>
      <c r="F782" s="2">
        <v>23</v>
      </c>
      <c r="G782" t="s">
        <v>16</v>
      </c>
      <c r="H782">
        <v>530.24</v>
      </c>
      <c r="I782">
        <v>987.41</v>
      </c>
      <c r="J782" t="s">
        <v>17</v>
      </c>
      <c r="K782" s="5">
        <v>0.23</v>
      </c>
      <c r="L782" t="s">
        <v>31</v>
      </c>
      <c r="M782" t="s">
        <v>19</v>
      </c>
      <c r="N782" t="s">
        <v>53</v>
      </c>
      <c r="O782" t="str">
        <f t="shared" si="36"/>
        <v>November</v>
      </c>
      <c r="P782">
        <f t="shared" si="37"/>
        <v>11</v>
      </c>
      <c r="Q782">
        <f t="shared" si="38"/>
        <v>2023</v>
      </c>
    </row>
    <row r="783" spans="1:17" x14ac:dyDescent="0.25">
      <c r="A783">
        <v>1047</v>
      </c>
      <c r="B783" s="1">
        <v>45196</v>
      </c>
      <c r="C783" t="s">
        <v>38</v>
      </c>
      <c r="D783" t="s">
        <v>15</v>
      </c>
      <c r="E783" s="4">
        <v>8657.89</v>
      </c>
      <c r="F783" s="2">
        <v>32</v>
      </c>
      <c r="G783" t="s">
        <v>35</v>
      </c>
      <c r="H783">
        <v>367.98</v>
      </c>
      <c r="I783">
        <v>806.14</v>
      </c>
      <c r="J783" t="s">
        <v>17</v>
      </c>
      <c r="K783" s="5">
        <v>0.22</v>
      </c>
      <c r="L783" t="s">
        <v>31</v>
      </c>
      <c r="M783" t="s">
        <v>22</v>
      </c>
      <c r="N783" t="s">
        <v>40</v>
      </c>
      <c r="O783" t="str">
        <f t="shared" si="36"/>
        <v>September</v>
      </c>
      <c r="P783">
        <f t="shared" si="37"/>
        <v>9</v>
      </c>
      <c r="Q783">
        <f t="shared" si="38"/>
        <v>2023</v>
      </c>
    </row>
    <row r="784" spans="1:17" x14ac:dyDescent="0.25">
      <c r="A784">
        <v>1025</v>
      </c>
      <c r="B784" s="1">
        <v>45118</v>
      </c>
      <c r="C784" t="s">
        <v>33</v>
      </c>
      <c r="D784" t="s">
        <v>21</v>
      </c>
      <c r="E784" s="4">
        <v>5910.67</v>
      </c>
      <c r="F784" s="2">
        <v>40</v>
      </c>
      <c r="G784" t="s">
        <v>35</v>
      </c>
      <c r="H784">
        <v>2983.85</v>
      </c>
      <c r="I784">
        <v>3239.74</v>
      </c>
      <c r="J784" t="s">
        <v>30</v>
      </c>
      <c r="K784" s="5">
        <v>0.27</v>
      </c>
      <c r="L784" t="s">
        <v>31</v>
      </c>
      <c r="M784" t="s">
        <v>19</v>
      </c>
      <c r="N784" t="s">
        <v>37</v>
      </c>
      <c r="O784" t="str">
        <f t="shared" si="36"/>
        <v>July</v>
      </c>
      <c r="P784">
        <f t="shared" si="37"/>
        <v>7</v>
      </c>
      <c r="Q784">
        <f t="shared" si="38"/>
        <v>2023</v>
      </c>
    </row>
    <row r="785" spans="1:17" x14ac:dyDescent="0.25">
      <c r="A785">
        <v>1066</v>
      </c>
      <c r="B785" s="1">
        <v>45101</v>
      </c>
      <c r="C785" t="s">
        <v>14</v>
      </c>
      <c r="D785" t="s">
        <v>21</v>
      </c>
      <c r="E785" s="4">
        <v>5851.41</v>
      </c>
      <c r="F785" s="2">
        <v>13</v>
      </c>
      <c r="G785" t="s">
        <v>16</v>
      </c>
      <c r="H785">
        <v>4133.92</v>
      </c>
      <c r="I785">
        <v>4358.37</v>
      </c>
      <c r="J785" t="s">
        <v>30</v>
      </c>
      <c r="K785" s="5">
        <v>0.13</v>
      </c>
      <c r="L785" t="s">
        <v>18</v>
      </c>
      <c r="M785" t="s">
        <v>22</v>
      </c>
      <c r="N785" t="s">
        <v>23</v>
      </c>
      <c r="O785" t="str">
        <f t="shared" si="36"/>
        <v>June</v>
      </c>
      <c r="P785">
        <f t="shared" si="37"/>
        <v>6</v>
      </c>
      <c r="Q785">
        <f t="shared" si="38"/>
        <v>2023</v>
      </c>
    </row>
    <row r="786" spans="1:17" x14ac:dyDescent="0.25">
      <c r="A786">
        <v>1010</v>
      </c>
      <c r="B786" s="1">
        <v>45211</v>
      </c>
      <c r="C786" t="s">
        <v>33</v>
      </c>
      <c r="D786" t="s">
        <v>15</v>
      </c>
      <c r="E786" s="4">
        <v>9907.7199999999993</v>
      </c>
      <c r="F786" s="2">
        <v>20</v>
      </c>
      <c r="G786" t="s">
        <v>16</v>
      </c>
      <c r="H786">
        <v>4298.74</v>
      </c>
      <c r="I786">
        <v>4475.1899999999996</v>
      </c>
      <c r="J786" t="s">
        <v>17</v>
      </c>
      <c r="K786" s="5">
        <v>0.16</v>
      </c>
      <c r="L786" t="s">
        <v>18</v>
      </c>
      <c r="M786" t="s">
        <v>19</v>
      </c>
      <c r="N786" t="s">
        <v>53</v>
      </c>
      <c r="O786" t="str">
        <f t="shared" si="36"/>
        <v>October</v>
      </c>
      <c r="P786">
        <f t="shared" si="37"/>
        <v>10</v>
      </c>
      <c r="Q786">
        <f t="shared" si="38"/>
        <v>2023</v>
      </c>
    </row>
    <row r="787" spans="1:17" x14ac:dyDescent="0.25">
      <c r="A787">
        <v>1056</v>
      </c>
      <c r="B787" s="1">
        <v>45130</v>
      </c>
      <c r="C787" t="s">
        <v>14</v>
      </c>
      <c r="D787" t="s">
        <v>21</v>
      </c>
      <c r="E787" s="4">
        <v>7591.63</v>
      </c>
      <c r="F787" s="2">
        <v>35</v>
      </c>
      <c r="G787" t="s">
        <v>16</v>
      </c>
      <c r="H787">
        <v>2344.9299999999998</v>
      </c>
      <c r="I787">
        <v>2707.25</v>
      </c>
      <c r="J787" t="s">
        <v>30</v>
      </c>
      <c r="K787" s="5">
        <v>0.12</v>
      </c>
      <c r="L787" t="s">
        <v>31</v>
      </c>
      <c r="M787" t="s">
        <v>22</v>
      </c>
      <c r="N787" t="s">
        <v>23</v>
      </c>
      <c r="O787" t="str">
        <f t="shared" si="36"/>
        <v>July</v>
      </c>
      <c r="P787">
        <f t="shared" si="37"/>
        <v>7</v>
      </c>
      <c r="Q787">
        <f t="shared" si="38"/>
        <v>2023</v>
      </c>
    </row>
    <row r="788" spans="1:17" x14ac:dyDescent="0.25">
      <c r="A788">
        <v>1030</v>
      </c>
      <c r="B788" s="1">
        <v>45090</v>
      </c>
      <c r="C788" t="s">
        <v>33</v>
      </c>
      <c r="D788" t="s">
        <v>21</v>
      </c>
      <c r="E788" s="4">
        <v>4478.71</v>
      </c>
      <c r="F788" s="2">
        <v>5</v>
      </c>
      <c r="G788" t="s">
        <v>29</v>
      </c>
      <c r="H788">
        <v>3932.14</v>
      </c>
      <c r="I788">
        <v>4082.7599999999902</v>
      </c>
      <c r="J788" t="s">
        <v>30</v>
      </c>
      <c r="K788" s="5">
        <v>0.26</v>
      </c>
      <c r="L788" t="s">
        <v>31</v>
      </c>
      <c r="M788" t="s">
        <v>19</v>
      </c>
      <c r="N788" t="s">
        <v>37</v>
      </c>
      <c r="O788" t="str">
        <f t="shared" si="36"/>
        <v>June</v>
      </c>
      <c r="P788">
        <f t="shared" si="37"/>
        <v>6</v>
      </c>
      <c r="Q788">
        <f t="shared" si="38"/>
        <v>2023</v>
      </c>
    </row>
    <row r="789" spans="1:17" x14ac:dyDescent="0.25">
      <c r="A789">
        <v>1005</v>
      </c>
      <c r="B789" s="1">
        <v>45177</v>
      </c>
      <c r="C789" t="s">
        <v>38</v>
      </c>
      <c r="D789" t="s">
        <v>15</v>
      </c>
      <c r="E789" s="4">
        <v>7103.23</v>
      </c>
      <c r="F789" s="2">
        <v>9</v>
      </c>
      <c r="G789" t="s">
        <v>35</v>
      </c>
      <c r="H789">
        <v>4737.0600000000004</v>
      </c>
      <c r="I789">
        <v>4869.5</v>
      </c>
      <c r="J789" t="s">
        <v>30</v>
      </c>
      <c r="K789" s="5">
        <v>7.0000000000000007E-2</v>
      </c>
      <c r="L789" t="s">
        <v>18</v>
      </c>
      <c r="M789" t="s">
        <v>19</v>
      </c>
      <c r="N789" t="s">
        <v>40</v>
      </c>
      <c r="O789" t="str">
        <f t="shared" si="36"/>
        <v>September</v>
      </c>
      <c r="P789">
        <f t="shared" si="37"/>
        <v>9</v>
      </c>
      <c r="Q789">
        <f t="shared" si="38"/>
        <v>2023</v>
      </c>
    </row>
    <row r="790" spans="1:17" x14ac:dyDescent="0.25">
      <c r="A790">
        <v>1033</v>
      </c>
      <c r="B790" s="1">
        <v>45153</v>
      </c>
      <c r="C790" t="s">
        <v>38</v>
      </c>
      <c r="D790" t="s">
        <v>34</v>
      </c>
      <c r="E790" s="4">
        <v>3953.38</v>
      </c>
      <c r="F790" s="2">
        <v>29</v>
      </c>
      <c r="G790" t="s">
        <v>29</v>
      </c>
      <c r="H790">
        <v>1412.09</v>
      </c>
      <c r="I790">
        <v>1596.6499999999901</v>
      </c>
      <c r="J790" t="s">
        <v>17</v>
      </c>
      <c r="K790" s="5">
        <v>7.0000000000000007E-2</v>
      </c>
      <c r="L790" t="s">
        <v>18</v>
      </c>
      <c r="M790" t="s">
        <v>19</v>
      </c>
      <c r="N790" t="s">
        <v>48</v>
      </c>
      <c r="O790" t="str">
        <f t="shared" si="36"/>
        <v>August</v>
      </c>
      <c r="P790">
        <f t="shared" si="37"/>
        <v>8</v>
      </c>
      <c r="Q790">
        <f t="shared" si="38"/>
        <v>2023</v>
      </c>
    </row>
    <row r="791" spans="1:17" x14ac:dyDescent="0.25">
      <c r="A791">
        <v>1065</v>
      </c>
      <c r="B791" s="1">
        <v>44933</v>
      </c>
      <c r="C791" t="s">
        <v>38</v>
      </c>
      <c r="D791" t="s">
        <v>15</v>
      </c>
      <c r="E791" s="4">
        <v>2365.87</v>
      </c>
      <c r="F791" s="2">
        <v>6</v>
      </c>
      <c r="G791" t="s">
        <v>29</v>
      </c>
      <c r="H791">
        <v>2019.9</v>
      </c>
      <c r="I791">
        <v>2116.7399999999998</v>
      </c>
      <c r="J791" t="s">
        <v>30</v>
      </c>
      <c r="K791" s="5">
        <v>0.11</v>
      </c>
      <c r="L791" t="s">
        <v>31</v>
      </c>
      <c r="M791" t="s">
        <v>19</v>
      </c>
      <c r="N791" t="s">
        <v>40</v>
      </c>
      <c r="O791" t="str">
        <f t="shared" si="36"/>
        <v>January</v>
      </c>
      <c r="P791">
        <f t="shared" si="37"/>
        <v>1</v>
      </c>
      <c r="Q791">
        <f t="shared" si="38"/>
        <v>2023</v>
      </c>
    </row>
    <row r="792" spans="1:17" x14ac:dyDescent="0.25">
      <c r="A792">
        <v>1018</v>
      </c>
      <c r="B792" s="1">
        <v>44955</v>
      </c>
      <c r="C792" t="s">
        <v>24</v>
      </c>
      <c r="D792" t="s">
        <v>21</v>
      </c>
      <c r="E792" s="4">
        <v>6008.83</v>
      </c>
      <c r="F792" s="2">
        <v>25</v>
      </c>
      <c r="G792" t="s">
        <v>26</v>
      </c>
      <c r="H792">
        <v>4660.82</v>
      </c>
      <c r="I792">
        <v>5011.4299999999903</v>
      </c>
      <c r="J792" t="s">
        <v>30</v>
      </c>
      <c r="K792" s="5">
        <v>7.0000000000000007E-2</v>
      </c>
      <c r="L792" t="s">
        <v>27</v>
      </c>
      <c r="M792" t="s">
        <v>19</v>
      </c>
      <c r="N792" t="s">
        <v>47</v>
      </c>
      <c r="O792" t="str">
        <f t="shared" si="36"/>
        <v>January</v>
      </c>
      <c r="P792">
        <f t="shared" si="37"/>
        <v>1</v>
      </c>
      <c r="Q792">
        <f t="shared" si="38"/>
        <v>2023</v>
      </c>
    </row>
    <row r="793" spans="1:17" x14ac:dyDescent="0.25">
      <c r="A793">
        <v>1096</v>
      </c>
      <c r="B793" s="1">
        <v>44959</v>
      </c>
      <c r="C793" t="s">
        <v>42</v>
      </c>
      <c r="D793" t="s">
        <v>34</v>
      </c>
      <c r="E793" s="4">
        <v>9289</v>
      </c>
      <c r="F793" s="2">
        <v>31</v>
      </c>
      <c r="G793" t="s">
        <v>35</v>
      </c>
      <c r="H793">
        <v>1724.24</v>
      </c>
      <c r="I793">
        <v>2036.2</v>
      </c>
      <c r="J793" t="s">
        <v>30</v>
      </c>
      <c r="K793" s="5">
        <v>0.17</v>
      </c>
      <c r="L793" t="s">
        <v>18</v>
      </c>
      <c r="M793" t="s">
        <v>19</v>
      </c>
      <c r="N793" t="s">
        <v>52</v>
      </c>
      <c r="O793" t="str">
        <f t="shared" si="36"/>
        <v>February</v>
      </c>
      <c r="P793">
        <f t="shared" si="37"/>
        <v>2</v>
      </c>
      <c r="Q793">
        <f t="shared" si="38"/>
        <v>2023</v>
      </c>
    </row>
    <row r="794" spans="1:17" x14ac:dyDescent="0.25">
      <c r="A794">
        <v>1049</v>
      </c>
      <c r="B794" s="1">
        <v>45060</v>
      </c>
      <c r="C794" t="s">
        <v>38</v>
      </c>
      <c r="D794" t="s">
        <v>25</v>
      </c>
      <c r="E794" s="4">
        <v>9298.48</v>
      </c>
      <c r="F794" s="2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 s="5">
        <v>0.04</v>
      </c>
      <c r="L794" t="s">
        <v>18</v>
      </c>
      <c r="M794" t="s">
        <v>19</v>
      </c>
      <c r="N794" t="s">
        <v>39</v>
      </c>
      <c r="O794" t="str">
        <f t="shared" si="36"/>
        <v>May</v>
      </c>
      <c r="P794">
        <f t="shared" si="37"/>
        <v>5</v>
      </c>
      <c r="Q794">
        <f t="shared" si="38"/>
        <v>2023</v>
      </c>
    </row>
    <row r="795" spans="1:17" x14ac:dyDescent="0.25">
      <c r="A795">
        <v>1011</v>
      </c>
      <c r="B795" s="1">
        <v>45005</v>
      </c>
      <c r="C795" t="s">
        <v>14</v>
      </c>
      <c r="D795" t="s">
        <v>34</v>
      </c>
      <c r="E795" s="4">
        <v>3484.86</v>
      </c>
      <c r="F795" s="2">
        <v>2</v>
      </c>
      <c r="G795" t="s">
        <v>16</v>
      </c>
      <c r="H795">
        <v>4906.17</v>
      </c>
      <c r="I795">
        <v>5107.43</v>
      </c>
      <c r="J795" t="s">
        <v>17</v>
      </c>
      <c r="K795" s="5">
        <v>0.1</v>
      </c>
      <c r="L795" t="s">
        <v>18</v>
      </c>
      <c r="M795" t="s">
        <v>19</v>
      </c>
      <c r="N795" t="s">
        <v>46</v>
      </c>
      <c r="O795" t="str">
        <f t="shared" si="36"/>
        <v>March</v>
      </c>
      <c r="P795">
        <f t="shared" si="37"/>
        <v>3</v>
      </c>
      <c r="Q795">
        <f t="shared" si="38"/>
        <v>2023</v>
      </c>
    </row>
    <row r="796" spans="1:17" x14ac:dyDescent="0.25">
      <c r="A796">
        <v>1085</v>
      </c>
      <c r="B796" s="1">
        <v>44984</v>
      </c>
      <c r="C796" t="s">
        <v>38</v>
      </c>
      <c r="D796" t="s">
        <v>21</v>
      </c>
      <c r="E796" s="4">
        <v>5324.01</v>
      </c>
      <c r="F796" s="2">
        <v>45</v>
      </c>
      <c r="G796" t="s">
        <v>16</v>
      </c>
      <c r="H796">
        <v>3325.96</v>
      </c>
      <c r="I796">
        <v>3781.4</v>
      </c>
      <c r="J796" t="s">
        <v>17</v>
      </c>
      <c r="K796" s="5">
        <v>0.27</v>
      </c>
      <c r="L796" t="s">
        <v>31</v>
      </c>
      <c r="M796" t="s">
        <v>19</v>
      </c>
      <c r="N796" t="s">
        <v>41</v>
      </c>
      <c r="O796" t="str">
        <f t="shared" si="36"/>
        <v>February</v>
      </c>
      <c r="P796">
        <f t="shared" si="37"/>
        <v>2</v>
      </c>
      <c r="Q796">
        <f t="shared" si="38"/>
        <v>2023</v>
      </c>
    </row>
    <row r="797" spans="1:17" x14ac:dyDescent="0.25">
      <c r="A797">
        <v>1026</v>
      </c>
      <c r="B797" s="1">
        <v>44952</v>
      </c>
      <c r="C797" t="s">
        <v>24</v>
      </c>
      <c r="D797" t="s">
        <v>34</v>
      </c>
      <c r="E797" s="4">
        <v>2195.1999999999998</v>
      </c>
      <c r="F797" s="2">
        <v>5</v>
      </c>
      <c r="G797" t="s">
        <v>26</v>
      </c>
      <c r="H797">
        <v>4093.61</v>
      </c>
      <c r="I797">
        <v>4117.88</v>
      </c>
      <c r="J797" t="s">
        <v>17</v>
      </c>
      <c r="K797" s="5">
        <v>0.12</v>
      </c>
      <c r="L797" t="s">
        <v>31</v>
      </c>
      <c r="M797" t="s">
        <v>22</v>
      </c>
      <c r="N797" t="s">
        <v>50</v>
      </c>
      <c r="O797" t="str">
        <f t="shared" si="36"/>
        <v>January</v>
      </c>
      <c r="P797">
        <f t="shared" si="37"/>
        <v>1</v>
      </c>
      <c r="Q797">
        <f t="shared" si="38"/>
        <v>2023</v>
      </c>
    </row>
    <row r="798" spans="1:17" x14ac:dyDescent="0.25">
      <c r="A798">
        <v>1063</v>
      </c>
      <c r="B798" s="1">
        <v>45152</v>
      </c>
      <c r="C798" t="s">
        <v>14</v>
      </c>
      <c r="D798" t="s">
        <v>15</v>
      </c>
      <c r="E798" s="4">
        <v>9956.75</v>
      </c>
      <c r="F798" s="2">
        <v>27</v>
      </c>
      <c r="G798" t="s">
        <v>29</v>
      </c>
      <c r="H798">
        <v>3760.25</v>
      </c>
      <c r="I798">
        <v>4147.1099999999997</v>
      </c>
      <c r="J798" t="s">
        <v>30</v>
      </c>
      <c r="K798" s="5">
        <v>0.22</v>
      </c>
      <c r="L798" t="s">
        <v>18</v>
      </c>
      <c r="M798" t="s">
        <v>19</v>
      </c>
      <c r="N798" t="s">
        <v>20</v>
      </c>
      <c r="O798" t="str">
        <f t="shared" si="36"/>
        <v>August</v>
      </c>
      <c r="P798">
        <f t="shared" si="37"/>
        <v>8</v>
      </c>
      <c r="Q798">
        <f t="shared" si="38"/>
        <v>2023</v>
      </c>
    </row>
    <row r="799" spans="1:17" x14ac:dyDescent="0.25">
      <c r="A799">
        <v>1089</v>
      </c>
      <c r="B799" s="1">
        <v>45211</v>
      </c>
      <c r="C799" t="s">
        <v>24</v>
      </c>
      <c r="D799" t="s">
        <v>25</v>
      </c>
      <c r="E799" s="4">
        <v>9813.07</v>
      </c>
      <c r="F799" s="2">
        <v>25</v>
      </c>
      <c r="G799" t="s">
        <v>16</v>
      </c>
      <c r="H799">
        <v>3512.69</v>
      </c>
      <c r="I799">
        <v>3964.63</v>
      </c>
      <c r="J799" t="s">
        <v>17</v>
      </c>
      <c r="K799" s="5">
        <v>0.03</v>
      </c>
      <c r="L799" t="s">
        <v>31</v>
      </c>
      <c r="M799" t="s">
        <v>22</v>
      </c>
      <c r="N799" t="s">
        <v>28</v>
      </c>
      <c r="O799" t="str">
        <f t="shared" si="36"/>
        <v>October</v>
      </c>
      <c r="P799">
        <f t="shared" si="37"/>
        <v>10</v>
      </c>
      <c r="Q799">
        <f t="shared" si="38"/>
        <v>2023</v>
      </c>
    </row>
    <row r="800" spans="1:17" x14ac:dyDescent="0.25">
      <c r="A800">
        <v>1086</v>
      </c>
      <c r="B800" s="1">
        <v>44930</v>
      </c>
      <c r="C800" t="s">
        <v>14</v>
      </c>
      <c r="D800" t="s">
        <v>25</v>
      </c>
      <c r="E800" s="4">
        <v>6530.14</v>
      </c>
      <c r="F800" s="2">
        <v>8</v>
      </c>
      <c r="G800" t="s">
        <v>16</v>
      </c>
      <c r="H800">
        <v>1569.31</v>
      </c>
      <c r="I800">
        <v>1798.02</v>
      </c>
      <c r="J800" t="s">
        <v>30</v>
      </c>
      <c r="K800" s="5">
        <v>7.0000000000000007E-2</v>
      </c>
      <c r="L800" t="s">
        <v>31</v>
      </c>
      <c r="M800" t="s">
        <v>19</v>
      </c>
      <c r="N800" t="s">
        <v>32</v>
      </c>
      <c r="O800" t="str">
        <f t="shared" si="36"/>
        <v>January</v>
      </c>
      <c r="P800">
        <f t="shared" si="37"/>
        <v>1</v>
      </c>
      <c r="Q800">
        <f t="shared" si="38"/>
        <v>2023</v>
      </c>
    </row>
    <row r="801" spans="1:17" x14ac:dyDescent="0.25">
      <c r="A801">
        <v>1059</v>
      </c>
      <c r="B801" s="1">
        <v>45025</v>
      </c>
      <c r="C801" t="s">
        <v>33</v>
      </c>
      <c r="D801" t="s">
        <v>25</v>
      </c>
      <c r="E801" s="4">
        <v>8063.7</v>
      </c>
      <c r="F801" s="2">
        <v>1</v>
      </c>
      <c r="G801" t="s">
        <v>35</v>
      </c>
      <c r="H801">
        <v>332.62</v>
      </c>
      <c r="I801">
        <v>612.46</v>
      </c>
      <c r="J801" t="s">
        <v>17</v>
      </c>
      <c r="K801" s="5">
        <v>0.24</v>
      </c>
      <c r="L801" t="s">
        <v>18</v>
      </c>
      <c r="M801" t="s">
        <v>22</v>
      </c>
      <c r="N801" t="s">
        <v>44</v>
      </c>
      <c r="O801" t="str">
        <f t="shared" si="36"/>
        <v>April</v>
      </c>
      <c r="P801">
        <f t="shared" si="37"/>
        <v>4</v>
      </c>
      <c r="Q801">
        <f t="shared" si="38"/>
        <v>2023</v>
      </c>
    </row>
    <row r="802" spans="1:17" x14ac:dyDescent="0.25">
      <c r="A802">
        <v>1027</v>
      </c>
      <c r="B802" s="1">
        <v>44965</v>
      </c>
      <c r="C802" t="s">
        <v>42</v>
      </c>
      <c r="D802" t="s">
        <v>21</v>
      </c>
      <c r="E802" s="4">
        <v>7179.49</v>
      </c>
      <c r="F802" s="2">
        <v>20</v>
      </c>
      <c r="G802" t="s">
        <v>35</v>
      </c>
      <c r="H802">
        <v>1748.11</v>
      </c>
      <c r="I802">
        <v>2220.9</v>
      </c>
      <c r="J802" t="s">
        <v>30</v>
      </c>
      <c r="K802" s="5">
        <v>0.23</v>
      </c>
      <c r="L802" t="s">
        <v>31</v>
      </c>
      <c r="M802" t="s">
        <v>22</v>
      </c>
      <c r="N802" t="s">
        <v>51</v>
      </c>
      <c r="O802" t="str">
        <f t="shared" si="36"/>
        <v>February</v>
      </c>
      <c r="P802">
        <f t="shared" si="37"/>
        <v>2</v>
      </c>
      <c r="Q802">
        <f t="shared" si="38"/>
        <v>2023</v>
      </c>
    </row>
    <row r="803" spans="1:17" x14ac:dyDescent="0.25">
      <c r="A803">
        <v>1049</v>
      </c>
      <c r="B803" s="1">
        <v>45197</v>
      </c>
      <c r="C803" t="s">
        <v>42</v>
      </c>
      <c r="D803" t="s">
        <v>21</v>
      </c>
      <c r="E803" s="4">
        <v>5972.27</v>
      </c>
      <c r="F803" s="2">
        <v>44</v>
      </c>
      <c r="G803" t="s">
        <v>16</v>
      </c>
      <c r="H803">
        <v>3351.33</v>
      </c>
      <c r="I803">
        <v>3465.35</v>
      </c>
      <c r="J803" t="s">
        <v>17</v>
      </c>
      <c r="K803" s="5">
        <v>0.12</v>
      </c>
      <c r="L803" t="s">
        <v>27</v>
      </c>
      <c r="M803" t="s">
        <v>19</v>
      </c>
      <c r="N803" t="s">
        <v>51</v>
      </c>
      <c r="O803" t="str">
        <f t="shared" si="36"/>
        <v>September</v>
      </c>
      <c r="P803">
        <f t="shared" si="37"/>
        <v>9</v>
      </c>
      <c r="Q803">
        <f t="shared" si="38"/>
        <v>2023</v>
      </c>
    </row>
    <row r="804" spans="1:17" x14ac:dyDescent="0.25">
      <c r="A804">
        <v>1077</v>
      </c>
      <c r="B804" s="1">
        <v>45211</v>
      </c>
      <c r="C804" t="s">
        <v>24</v>
      </c>
      <c r="D804" t="s">
        <v>25</v>
      </c>
      <c r="E804" s="4">
        <v>628.15</v>
      </c>
      <c r="F804" s="2">
        <v>23</v>
      </c>
      <c r="G804" t="s">
        <v>35</v>
      </c>
      <c r="H804">
        <v>557.52</v>
      </c>
      <c r="I804">
        <v>822.39</v>
      </c>
      <c r="J804" t="s">
        <v>17</v>
      </c>
      <c r="K804" s="5">
        <v>0.28999999999999998</v>
      </c>
      <c r="L804" t="s">
        <v>31</v>
      </c>
      <c r="M804" t="s">
        <v>19</v>
      </c>
      <c r="N804" t="s">
        <v>28</v>
      </c>
      <c r="O804" t="str">
        <f t="shared" si="36"/>
        <v>October</v>
      </c>
      <c r="P804">
        <f t="shared" si="37"/>
        <v>10</v>
      </c>
      <c r="Q804">
        <f t="shared" si="38"/>
        <v>2023</v>
      </c>
    </row>
    <row r="805" spans="1:17" x14ac:dyDescent="0.25">
      <c r="A805">
        <v>1033</v>
      </c>
      <c r="B805" s="1">
        <v>45083</v>
      </c>
      <c r="C805" t="s">
        <v>42</v>
      </c>
      <c r="D805" t="s">
        <v>34</v>
      </c>
      <c r="E805" s="4">
        <v>4602.17</v>
      </c>
      <c r="F805" s="2">
        <v>32</v>
      </c>
      <c r="G805" t="s">
        <v>26</v>
      </c>
      <c r="H805">
        <v>108.99</v>
      </c>
      <c r="I805">
        <v>351.6</v>
      </c>
      <c r="J805" t="s">
        <v>17</v>
      </c>
      <c r="K805" s="5">
        <v>0.27</v>
      </c>
      <c r="L805" t="s">
        <v>31</v>
      </c>
      <c r="M805" t="s">
        <v>22</v>
      </c>
      <c r="N805" t="s">
        <v>52</v>
      </c>
      <c r="O805" t="str">
        <f t="shared" si="36"/>
        <v>June</v>
      </c>
      <c r="P805">
        <f t="shared" si="37"/>
        <v>6</v>
      </c>
      <c r="Q805">
        <f t="shared" si="38"/>
        <v>2023</v>
      </c>
    </row>
    <row r="806" spans="1:17" x14ac:dyDescent="0.25">
      <c r="A806">
        <v>1098</v>
      </c>
      <c r="B806" s="1">
        <v>45001</v>
      </c>
      <c r="C806" t="s">
        <v>24</v>
      </c>
      <c r="D806" t="s">
        <v>25</v>
      </c>
      <c r="E806" s="4">
        <v>6780.38</v>
      </c>
      <c r="F806" s="2">
        <v>11</v>
      </c>
      <c r="G806" t="s">
        <v>16</v>
      </c>
      <c r="H806">
        <v>741.48</v>
      </c>
      <c r="I806">
        <v>878.09</v>
      </c>
      <c r="J806" t="s">
        <v>30</v>
      </c>
      <c r="K806" s="5">
        <v>0.28999999999999998</v>
      </c>
      <c r="L806" t="s">
        <v>18</v>
      </c>
      <c r="M806" t="s">
        <v>22</v>
      </c>
      <c r="N806" t="s">
        <v>28</v>
      </c>
      <c r="O806" t="str">
        <f t="shared" si="36"/>
        <v>March</v>
      </c>
      <c r="P806">
        <f t="shared" si="37"/>
        <v>3</v>
      </c>
      <c r="Q806">
        <f t="shared" si="38"/>
        <v>2023</v>
      </c>
    </row>
    <row r="807" spans="1:17" x14ac:dyDescent="0.25">
      <c r="A807">
        <v>1099</v>
      </c>
      <c r="B807" s="1">
        <v>45214</v>
      </c>
      <c r="C807" t="s">
        <v>24</v>
      </c>
      <c r="D807" t="s">
        <v>34</v>
      </c>
      <c r="E807" s="4">
        <v>6807.56</v>
      </c>
      <c r="F807" s="2">
        <v>39</v>
      </c>
      <c r="G807" t="s">
        <v>35</v>
      </c>
      <c r="H807">
        <v>3592.89</v>
      </c>
      <c r="I807">
        <v>4004</v>
      </c>
      <c r="J807" t="s">
        <v>30</v>
      </c>
      <c r="K807" s="5">
        <v>0.13</v>
      </c>
      <c r="L807" t="s">
        <v>18</v>
      </c>
      <c r="M807" t="s">
        <v>19</v>
      </c>
      <c r="N807" t="s">
        <v>50</v>
      </c>
      <c r="O807" t="str">
        <f t="shared" si="36"/>
        <v>October</v>
      </c>
      <c r="P807">
        <f t="shared" si="37"/>
        <v>10</v>
      </c>
      <c r="Q807">
        <f t="shared" si="38"/>
        <v>2023</v>
      </c>
    </row>
    <row r="808" spans="1:17" x14ac:dyDescent="0.25">
      <c r="A808">
        <v>1001</v>
      </c>
      <c r="B808" s="1">
        <v>45056</v>
      </c>
      <c r="C808" t="s">
        <v>24</v>
      </c>
      <c r="D808" t="s">
        <v>34</v>
      </c>
      <c r="E808" s="4">
        <v>3793.91</v>
      </c>
      <c r="F808" s="2">
        <v>47</v>
      </c>
      <c r="G808" t="s">
        <v>26</v>
      </c>
      <c r="H808">
        <v>4865.33</v>
      </c>
      <c r="I808">
        <v>5316.13</v>
      </c>
      <c r="J808" t="s">
        <v>30</v>
      </c>
      <c r="K808" s="5">
        <v>0.06</v>
      </c>
      <c r="L808" t="s">
        <v>27</v>
      </c>
      <c r="M808" t="s">
        <v>19</v>
      </c>
      <c r="N808" t="s">
        <v>50</v>
      </c>
      <c r="O808" t="str">
        <f t="shared" si="36"/>
        <v>May</v>
      </c>
      <c r="P808">
        <f t="shared" si="37"/>
        <v>5</v>
      </c>
      <c r="Q808">
        <f t="shared" si="38"/>
        <v>2023</v>
      </c>
    </row>
    <row r="809" spans="1:17" x14ac:dyDescent="0.25">
      <c r="A809">
        <v>1021</v>
      </c>
      <c r="B809" s="1">
        <v>45101</v>
      </c>
      <c r="C809" t="s">
        <v>42</v>
      </c>
      <c r="D809" t="s">
        <v>21</v>
      </c>
      <c r="E809" s="4">
        <v>9422.75</v>
      </c>
      <c r="F809" s="2">
        <v>24</v>
      </c>
      <c r="G809" t="s">
        <v>35</v>
      </c>
      <c r="H809">
        <v>4916.17</v>
      </c>
      <c r="I809">
        <v>5309.32</v>
      </c>
      <c r="J809" t="s">
        <v>17</v>
      </c>
      <c r="K809" s="5">
        <v>0.19</v>
      </c>
      <c r="L809" t="s">
        <v>31</v>
      </c>
      <c r="M809" t="s">
        <v>19</v>
      </c>
      <c r="N809" t="s">
        <v>51</v>
      </c>
      <c r="O809" t="str">
        <f t="shared" si="36"/>
        <v>June</v>
      </c>
      <c r="P809">
        <f t="shared" si="37"/>
        <v>6</v>
      </c>
      <c r="Q809">
        <f t="shared" si="38"/>
        <v>2023</v>
      </c>
    </row>
    <row r="810" spans="1:17" x14ac:dyDescent="0.25">
      <c r="A810">
        <v>1055</v>
      </c>
      <c r="B810" s="1">
        <v>45010</v>
      </c>
      <c r="C810" t="s">
        <v>24</v>
      </c>
      <c r="D810" t="s">
        <v>34</v>
      </c>
      <c r="E810" s="4">
        <v>1756.83</v>
      </c>
      <c r="F810" s="2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 s="5">
        <v>0.21</v>
      </c>
      <c r="L810" t="s">
        <v>27</v>
      </c>
      <c r="M810" t="s">
        <v>22</v>
      </c>
      <c r="N810" t="s">
        <v>50</v>
      </c>
      <c r="O810" t="str">
        <f t="shared" si="36"/>
        <v>March</v>
      </c>
      <c r="P810">
        <f t="shared" si="37"/>
        <v>3</v>
      </c>
      <c r="Q810">
        <f t="shared" si="38"/>
        <v>2023</v>
      </c>
    </row>
    <row r="811" spans="1:17" x14ac:dyDescent="0.25">
      <c r="A811">
        <v>1006</v>
      </c>
      <c r="B811" s="1">
        <v>44948</v>
      </c>
      <c r="C811" t="s">
        <v>42</v>
      </c>
      <c r="D811" t="s">
        <v>25</v>
      </c>
      <c r="E811" s="4">
        <v>5053.5600000000004</v>
      </c>
      <c r="F811" s="2">
        <v>29</v>
      </c>
      <c r="G811" t="s">
        <v>35</v>
      </c>
      <c r="H811">
        <v>4353.29</v>
      </c>
      <c r="I811">
        <v>4405.8</v>
      </c>
      <c r="J811" t="s">
        <v>30</v>
      </c>
      <c r="K811" s="5">
        <v>0.04</v>
      </c>
      <c r="L811" t="s">
        <v>27</v>
      </c>
      <c r="M811" t="s">
        <v>19</v>
      </c>
      <c r="N811" t="s">
        <v>43</v>
      </c>
      <c r="O811" t="str">
        <f t="shared" si="36"/>
        <v>January</v>
      </c>
      <c r="P811">
        <f t="shared" si="37"/>
        <v>1</v>
      </c>
      <c r="Q811">
        <f t="shared" si="38"/>
        <v>2023</v>
      </c>
    </row>
    <row r="812" spans="1:17" x14ac:dyDescent="0.25">
      <c r="A812">
        <v>1092</v>
      </c>
      <c r="B812" s="1">
        <v>44953</v>
      </c>
      <c r="C812" t="s">
        <v>24</v>
      </c>
      <c r="D812" t="s">
        <v>21</v>
      </c>
      <c r="E812" s="4">
        <v>6939.75</v>
      </c>
      <c r="F812" s="2">
        <v>26</v>
      </c>
      <c r="G812" t="s">
        <v>16</v>
      </c>
      <c r="H812">
        <v>3697.29</v>
      </c>
      <c r="I812">
        <v>4003.96</v>
      </c>
      <c r="J812" t="s">
        <v>30</v>
      </c>
      <c r="K812" s="5">
        <v>0.24</v>
      </c>
      <c r="L812" t="s">
        <v>18</v>
      </c>
      <c r="M812" t="s">
        <v>19</v>
      </c>
      <c r="N812" t="s">
        <v>47</v>
      </c>
      <c r="O812" t="str">
        <f t="shared" si="36"/>
        <v>January</v>
      </c>
      <c r="P812">
        <f t="shared" si="37"/>
        <v>1</v>
      </c>
      <c r="Q812">
        <f t="shared" si="38"/>
        <v>2023</v>
      </c>
    </row>
    <row r="813" spans="1:17" x14ac:dyDescent="0.25">
      <c r="A813">
        <v>1081</v>
      </c>
      <c r="B813" s="1">
        <v>45121</v>
      </c>
      <c r="C813" t="s">
        <v>38</v>
      </c>
      <c r="D813" t="s">
        <v>15</v>
      </c>
      <c r="E813" s="4">
        <v>7001.64</v>
      </c>
      <c r="F813" s="2">
        <v>16</v>
      </c>
      <c r="G813" t="s">
        <v>29</v>
      </c>
      <c r="H813">
        <v>2530.15</v>
      </c>
      <c r="I813">
        <v>2568.13</v>
      </c>
      <c r="J813" t="s">
        <v>30</v>
      </c>
      <c r="K813" s="5">
        <v>0.01</v>
      </c>
      <c r="L813" t="s">
        <v>31</v>
      </c>
      <c r="M813" t="s">
        <v>19</v>
      </c>
      <c r="N813" t="s">
        <v>40</v>
      </c>
      <c r="O813" t="str">
        <f t="shared" si="36"/>
        <v>July</v>
      </c>
      <c r="P813">
        <f t="shared" si="37"/>
        <v>7</v>
      </c>
      <c r="Q813">
        <f t="shared" si="38"/>
        <v>2023</v>
      </c>
    </row>
    <row r="814" spans="1:17" x14ac:dyDescent="0.25">
      <c r="A814">
        <v>1069</v>
      </c>
      <c r="B814" s="1">
        <v>45263</v>
      </c>
      <c r="C814" t="s">
        <v>24</v>
      </c>
      <c r="D814" t="s">
        <v>15</v>
      </c>
      <c r="E814" s="4">
        <v>6521.53</v>
      </c>
      <c r="F814" s="2">
        <v>35</v>
      </c>
      <c r="G814" t="s">
        <v>35</v>
      </c>
      <c r="H814">
        <v>2885.16</v>
      </c>
      <c r="I814">
        <v>3224.8399999999901</v>
      </c>
      <c r="J814" t="s">
        <v>30</v>
      </c>
      <c r="K814" s="5">
        <v>0.14000000000000001</v>
      </c>
      <c r="L814" t="s">
        <v>18</v>
      </c>
      <c r="M814" t="s">
        <v>19</v>
      </c>
      <c r="N814" t="s">
        <v>45</v>
      </c>
      <c r="O814" t="str">
        <f t="shared" si="36"/>
        <v>December</v>
      </c>
      <c r="P814">
        <f t="shared" si="37"/>
        <v>12</v>
      </c>
      <c r="Q814">
        <f t="shared" si="38"/>
        <v>2023</v>
      </c>
    </row>
    <row r="815" spans="1:17" x14ac:dyDescent="0.25">
      <c r="A815">
        <v>1095</v>
      </c>
      <c r="B815" s="1">
        <v>45162</v>
      </c>
      <c r="C815" t="s">
        <v>14</v>
      </c>
      <c r="D815" t="s">
        <v>21</v>
      </c>
      <c r="E815" s="4">
        <v>2825.35</v>
      </c>
      <c r="F815" s="2">
        <v>20</v>
      </c>
      <c r="G815" t="s">
        <v>26</v>
      </c>
      <c r="H815">
        <v>729.27</v>
      </c>
      <c r="I815">
        <v>999.18</v>
      </c>
      <c r="J815" t="s">
        <v>30</v>
      </c>
      <c r="K815" s="5">
        <v>0.1</v>
      </c>
      <c r="L815" t="s">
        <v>27</v>
      </c>
      <c r="M815" t="s">
        <v>19</v>
      </c>
      <c r="N815" t="s">
        <v>23</v>
      </c>
      <c r="O815" t="str">
        <f t="shared" si="36"/>
        <v>August</v>
      </c>
      <c r="P815">
        <f t="shared" si="37"/>
        <v>8</v>
      </c>
      <c r="Q815">
        <f t="shared" si="38"/>
        <v>2023</v>
      </c>
    </row>
    <row r="816" spans="1:17" x14ac:dyDescent="0.25">
      <c r="A816">
        <v>1005</v>
      </c>
      <c r="B816" s="1">
        <v>45018</v>
      </c>
      <c r="C816" t="s">
        <v>24</v>
      </c>
      <c r="D816" t="s">
        <v>25</v>
      </c>
      <c r="E816" s="4">
        <v>1646.45</v>
      </c>
      <c r="F816" s="2">
        <v>46</v>
      </c>
      <c r="G816" t="s">
        <v>16</v>
      </c>
      <c r="H816">
        <v>4691.42</v>
      </c>
      <c r="I816">
        <v>5026.1899999999996</v>
      </c>
      <c r="J816" t="s">
        <v>17</v>
      </c>
      <c r="K816" s="5">
        <v>0.22</v>
      </c>
      <c r="L816" t="s">
        <v>27</v>
      </c>
      <c r="M816" t="s">
        <v>22</v>
      </c>
      <c r="N816" t="s">
        <v>28</v>
      </c>
      <c r="O816" t="str">
        <f t="shared" si="36"/>
        <v>April</v>
      </c>
      <c r="P816">
        <f t="shared" si="37"/>
        <v>4</v>
      </c>
      <c r="Q816">
        <f t="shared" si="38"/>
        <v>2023</v>
      </c>
    </row>
    <row r="817" spans="1:17" x14ac:dyDescent="0.25">
      <c r="A817">
        <v>1003</v>
      </c>
      <c r="B817" s="1">
        <v>44947</v>
      </c>
      <c r="C817" t="s">
        <v>33</v>
      </c>
      <c r="D817" t="s">
        <v>15</v>
      </c>
      <c r="E817" s="4">
        <v>6395.81</v>
      </c>
      <c r="F817" s="2">
        <v>3</v>
      </c>
      <c r="G817" t="s">
        <v>16</v>
      </c>
      <c r="H817">
        <v>1792.05</v>
      </c>
      <c r="I817">
        <v>2091.23</v>
      </c>
      <c r="J817" t="s">
        <v>17</v>
      </c>
      <c r="K817" s="5">
        <v>0.09</v>
      </c>
      <c r="L817" t="s">
        <v>18</v>
      </c>
      <c r="M817" t="s">
        <v>22</v>
      </c>
      <c r="N817" t="s">
        <v>53</v>
      </c>
      <c r="O817" t="str">
        <f t="shared" si="36"/>
        <v>January</v>
      </c>
      <c r="P817">
        <f t="shared" si="37"/>
        <v>1</v>
      </c>
      <c r="Q817">
        <f t="shared" si="38"/>
        <v>2023</v>
      </c>
    </row>
    <row r="818" spans="1:17" x14ac:dyDescent="0.25">
      <c r="A818">
        <v>1053</v>
      </c>
      <c r="B818" s="1">
        <v>45229</v>
      </c>
      <c r="C818" t="s">
        <v>24</v>
      </c>
      <c r="D818" t="s">
        <v>15</v>
      </c>
      <c r="E818" s="4">
        <v>6033.09</v>
      </c>
      <c r="F818" s="2">
        <v>1</v>
      </c>
      <c r="G818" t="s">
        <v>26</v>
      </c>
      <c r="H818">
        <v>2258.44</v>
      </c>
      <c r="I818">
        <v>2475.56</v>
      </c>
      <c r="J818" t="s">
        <v>30</v>
      </c>
      <c r="K818" s="5">
        <v>0.25</v>
      </c>
      <c r="L818" t="s">
        <v>18</v>
      </c>
      <c r="M818" t="s">
        <v>19</v>
      </c>
      <c r="N818" t="s">
        <v>45</v>
      </c>
      <c r="O818" t="str">
        <f t="shared" si="36"/>
        <v>October</v>
      </c>
      <c r="P818">
        <f t="shared" si="37"/>
        <v>10</v>
      </c>
      <c r="Q818">
        <f t="shared" si="38"/>
        <v>2023</v>
      </c>
    </row>
    <row r="819" spans="1:17" x14ac:dyDescent="0.25">
      <c r="A819">
        <v>1023</v>
      </c>
      <c r="B819" s="1">
        <v>45283</v>
      </c>
      <c r="C819" t="s">
        <v>14</v>
      </c>
      <c r="D819" t="s">
        <v>34</v>
      </c>
      <c r="E819" s="4">
        <v>1875.62</v>
      </c>
      <c r="F819" s="2">
        <v>47</v>
      </c>
      <c r="G819" t="s">
        <v>35</v>
      </c>
      <c r="H819">
        <v>3374.72</v>
      </c>
      <c r="I819">
        <v>3483.1499999999901</v>
      </c>
      <c r="J819" t="s">
        <v>17</v>
      </c>
      <c r="K819" s="5">
        <v>0.18</v>
      </c>
      <c r="L819" t="s">
        <v>18</v>
      </c>
      <c r="M819" t="s">
        <v>19</v>
      </c>
      <c r="N819" t="s">
        <v>46</v>
      </c>
      <c r="O819" t="str">
        <f t="shared" si="36"/>
        <v>December</v>
      </c>
      <c r="P819">
        <f t="shared" si="37"/>
        <v>12</v>
      </c>
      <c r="Q819">
        <f t="shared" si="38"/>
        <v>2023</v>
      </c>
    </row>
    <row r="820" spans="1:17" x14ac:dyDescent="0.25">
      <c r="A820">
        <v>1053</v>
      </c>
      <c r="B820" s="1">
        <v>45010</v>
      </c>
      <c r="C820" t="s">
        <v>14</v>
      </c>
      <c r="D820" t="s">
        <v>34</v>
      </c>
      <c r="E820" s="4">
        <v>7080.88</v>
      </c>
      <c r="F820" s="2">
        <v>1</v>
      </c>
      <c r="G820" t="s">
        <v>29</v>
      </c>
      <c r="H820">
        <v>1702.82</v>
      </c>
      <c r="I820">
        <v>1862.61</v>
      </c>
      <c r="J820" t="s">
        <v>17</v>
      </c>
      <c r="K820" s="5">
        <v>0.24</v>
      </c>
      <c r="L820" t="s">
        <v>18</v>
      </c>
      <c r="M820" t="s">
        <v>22</v>
      </c>
      <c r="N820" t="s">
        <v>46</v>
      </c>
      <c r="O820" t="str">
        <f t="shared" si="36"/>
        <v>March</v>
      </c>
      <c r="P820">
        <f t="shared" si="37"/>
        <v>3</v>
      </c>
      <c r="Q820">
        <f t="shared" si="38"/>
        <v>2023</v>
      </c>
    </row>
    <row r="821" spans="1:17" x14ac:dyDescent="0.25">
      <c r="A821">
        <v>1037</v>
      </c>
      <c r="B821" s="1">
        <v>45188</v>
      </c>
      <c r="C821" t="s">
        <v>42</v>
      </c>
      <c r="D821" t="s">
        <v>25</v>
      </c>
      <c r="E821" s="4">
        <v>4606.2</v>
      </c>
      <c r="F821" s="2">
        <v>17</v>
      </c>
      <c r="G821" t="s">
        <v>35</v>
      </c>
      <c r="H821">
        <v>1308.58</v>
      </c>
      <c r="I821">
        <v>1575.59</v>
      </c>
      <c r="J821" t="s">
        <v>30</v>
      </c>
      <c r="K821" s="5">
        <v>0.3</v>
      </c>
      <c r="L821" t="s">
        <v>18</v>
      </c>
      <c r="M821" t="s">
        <v>19</v>
      </c>
      <c r="N821" t="s">
        <v>43</v>
      </c>
      <c r="O821" t="str">
        <f t="shared" si="36"/>
        <v>September</v>
      </c>
      <c r="P821">
        <f t="shared" si="37"/>
        <v>9</v>
      </c>
      <c r="Q821">
        <f t="shared" si="38"/>
        <v>2023</v>
      </c>
    </row>
    <row r="822" spans="1:17" x14ac:dyDescent="0.25">
      <c r="A822">
        <v>1074</v>
      </c>
      <c r="B822" s="1">
        <v>45073</v>
      </c>
      <c r="C822" t="s">
        <v>38</v>
      </c>
      <c r="D822" t="s">
        <v>21</v>
      </c>
      <c r="E822" s="4">
        <v>6710.83</v>
      </c>
      <c r="F822" s="2">
        <v>2</v>
      </c>
      <c r="G822" t="s">
        <v>26</v>
      </c>
      <c r="H822">
        <v>3173.69</v>
      </c>
      <c r="I822">
        <v>3503.11</v>
      </c>
      <c r="J822" t="s">
        <v>30</v>
      </c>
      <c r="K822" s="5">
        <v>0.2</v>
      </c>
      <c r="L822" t="s">
        <v>27</v>
      </c>
      <c r="M822" t="s">
        <v>22</v>
      </c>
      <c r="N822" t="s">
        <v>41</v>
      </c>
      <c r="O822" t="str">
        <f t="shared" si="36"/>
        <v>May</v>
      </c>
      <c r="P822">
        <f t="shared" si="37"/>
        <v>5</v>
      </c>
      <c r="Q822">
        <f t="shared" si="38"/>
        <v>2023</v>
      </c>
    </row>
    <row r="823" spans="1:17" x14ac:dyDescent="0.25">
      <c r="A823">
        <v>1074</v>
      </c>
      <c r="B823" s="1">
        <v>45183</v>
      </c>
      <c r="C823" t="s">
        <v>24</v>
      </c>
      <c r="D823" t="s">
        <v>25</v>
      </c>
      <c r="E823" s="4">
        <v>8389.93</v>
      </c>
      <c r="F823" s="2">
        <v>29</v>
      </c>
      <c r="G823" t="s">
        <v>16</v>
      </c>
      <c r="H823">
        <v>173.67</v>
      </c>
      <c r="I823">
        <v>565.62</v>
      </c>
      <c r="J823" t="s">
        <v>17</v>
      </c>
      <c r="K823" s="5">
        <v>0.3</v>
      </c>
      <c r="L823" t="s">
        <v>18</v>
      </c>
      <c r="M823" t="s">
        <v>19</v>
      </c>
      <c r="N823" t="s">
        <v>28</v>
      </c>
      <c r="O823" t="str">
        <f t="shared" si="36"/>
        <v>September</v>
      </c>
      <c r="P823">
        <f t="shared" si="37"/>
        <v>9</v>
      </c>
      <c r="Q823">
        <f t="shared" si="38"/>
        <v>2023</v>
      </c>
    </row>
    <row r="824" spans="1:17" x14ac:dyDescent="0.25">
      <c r="A824">
        <v>1083</v>
      </c>
      <c r="B824" s="1">
        <v>44984</v>
      </c>
      <c r="C824" t="s">
        <v>42</v>
      </c>
      <c r="D824" t="s">
        <v>21</v>
      </c>
      <c r="E824" s="4">
        <v>1780.31</v>
      </c>
      <c r="F824" s="2">
        <v>20</v>
      </c>
      <c r="G824" t="s">
        <v>29</v>
      </c>
      <c r="H824">
        <v>3617.59</v>
      </c>
      <c r="I824">
        <v>4003.5</v>
      </c>
      <c r="J824" t="s">
        <v>30</v>
      </c>
      <c r="K824" s="5">
        <v>0.01</v>
      </c>
      <c r="L824" t="s">
        <v>31</v>
      </c>
      <c r="M824" t="s">
        <v>22</v>
      </c>
      <c r="N824" t="s">
        <v>51</v>
      </c>
      <c r="O824" t="str">
        <f t="shared" si="36"/>
        <v>February</v>
      </c>
      <c r="P824">
        <f t="shared" si="37"/>
        <v>2</v>
      </c>
      <c r="Q824">
        <f t="shared" si="38"/>
        <v>2023</v>
      </c>
    </row>
    <row r="825" spans="1:17" x14ac:dyDescent="0.25">
      <c r="A825">
        <v>1017</v>
      </c>
      <c r="B825" s="1">
        <v>44941</v>
      </c>
      <c r="C825" t="s">
        <v>38</v>
      </c>
      <c r="D825" t="s">
        <v>15</v>
      </c>
      <c r="E825" s="4">
        <v>289.52999999999997</v>
      </c>
      <c r="F825" s="2">
        <v>6</v>
      </c>
      <c r="G825" t="s">
        <v>16</v>
      </c>
      <c r="H825">
        <v>2594.42</v>
      </c>
      <c r="I825">
        <v>3081.04</v>
      </c>
      <c r="J825" t="s">
        <v>17</v>
      </c>
      <c r="K825" s="5">
        <v>0.1</v>
      </c>
      <c r="L825" t="s">
        <v>27</v>
      </c>
      <c r="M825" t="s">
        <v>22</v>
      </c>
      <c r="N825" t="s">
        <v>40</v>
      </c>
      <c r="O825" t="str">
        <f t="shared" si="36"/>
        <v>January</v>
      </c>
      <c r="P825">
        <f t="shared" si="37"/>
        <v>1</v>
      </c>
      <c r="Q825">
        <f t="shared" si="38"/>
        <v>2023</v>
      </c>
    </row>
    <row r="826" spans="1:17" x14ac:dyDescent="0.25">
      <c r="A826">
        <v>1085</v>
      </c>
      <c r="B826" s="1">
        <v>45088</v>
      </c>
      <c r="C826" t="s">
        <v>24</v>
      </c>
      <c r="D826" t="s">
        <v>34</v>
      </c>
      <c r="E826" s="4">
        <v>7813.12</v>
      </c>
      <c r="F826" s="2">
        <v>8</v>
      </c>
      <c r="G826" t="s">
        <v>26</v>
      </c>
      <c r="H826">
        <v>3048.48</v>
      </c>
      <c r="I826">
        <v>3198.54</v>
      </c>
      <c r="J826" t="s">
        <v>17</v>
      </c>
      <c r="K826" s="5">
        <v>0.03</v>
      </c>
      <c r="L826" t="s">
        <v>27</v>
      </c>
      <c r="M826" t="s">
        <v>19</v>
      </c>
      <c r="N826" t="s">
        <v>50</v>
      </c>
      <c r="O826" t="str">
        <f t="shared" si="36"/>
        <v>June</v>
      </c>
      <c r="P826">
        <f t="shared" si="37"/>
        <v>6</v>
      </c>
      <c r="Q826">
        <f t="shared" si="38"/>
        <v>2023</v>
      </c>
    </row>
    <row r="827" spans="1:17" x14ac:dyDescent="0.25">
      <c r="A827">
        <v>1078</v>
      </c>
      <c r="B827" s="1">
        <v>45089</v>
      </c>
      <c r="C827" t="s">
        <v>33</v>
      </c>
      <c r="D827" t="s">
        <v>25</v>
      </c>
      <c r="E827" s="4">
        <v>6136</v>
      </c>
      <c r="F827" s="2">
        <v>29</v>
      </c>
      <c r="G827" t="s">
        <v>35</v>
      </c>
      <c r="H827">
        <v>3177.81</v>
      </c>
      <c r="I827">
        <v>3222.65</v>
      </c>
      <c r="J827" t="s">
        <v>17</v>
      </c>
      <c r="K827" s="5">
        <v>0.08</v>
      </c>
      <c r="L827" t="s">
        <v>31</v>
      </c>
      <c r="M827" t="s">
        <v>22</v>
      </c>
      <c r="N827" t="s">
        <v>44</v>
      </c>
      <c r="O827" t="str">
        <f t="shared" si="36"/>
        <v>June</v>
      </c>
      <c r="P827">
        <f t="shared" si="37"/>
        <v>6</v>
      </c>
      <c r="Q827">
        <f t="shared" si="38"/>
        <v>2023</v>
      </c>
    </row>
    <row r="828" spans="1:17" x14ac:dyDescent="0.25">
      <c r="A828">
        <v>1073</v>
      </c>
      <c r="B828" s="1">
        <v>45246</v>
      </c>
      <c r="C828" t="s">
        <v>24</v>
      </c>
      <c r="D828" t="s">
        <v>25</v>
      </c>
      <c r="E828" s="4">
        <v>7026.43</v>
      </c>
      <c r="F828" s="2">
        <v>48</v>
      </c>
      <c r="G828" t="s">
        <v>29</v>
      </c>
      <c r="H828">
        <v>2658.9</v>
      </c>
      <c r="I828">
        <v>2838.27</v>
      </c>
      <c r="J828" t="s">
        <v>30</v>
      </c>
      <c r="K828" s="5">
        <v>0.25</v>
      </c>
      <c r="L828" t="s">
        <v>31</v>
      </c>
      <c r="M828" t="s">
        <v>19</v>
      </c>
      <c r="N828" t="s">
        <v>28</v>
      </c>
      <c r="O828" t="str">
        <f t="shared" si="36"/>
        <v>November</v>
      </c>
      <c r="P828">
        <f t="shared" si="37"/>
        <v>11</v>
      </c>
      <c r="Q828">
        <f t="shared" si="38"/>
        <v>2023</v>
      </c>
    </row>
    <row r="829" spans="1:17" x14ac:dyDescent="0.25">
      <c r="A829">
        <v>1001</v>
      </c>
      <c r="B829" s="1">
        <v>45207</v>
      </c>
      <c r="C829" t="s">
        <v>14</v>
      </c>
      <c r="D829" t="s">
        <v>21</v>
      </c>
      <c r="E829" s="4">
        <v>8397.73</v>
      </c>
      <c r="F829" s="2">
        <v>33</v>
      </c>
      <c r="G829" t="s">
        <v>16</v>
      </c>
      <c r="H829">
        <v>2933.54</v>
      </c>
      <c r="I829">
        <v>3307.75</v>
      </c>
      <c r="J829" t="s">
        <v>17</v>
      </c>
      <c r="K829" s="5">
        <v>0.01</v>
      </c>
      <c r="L829" t="s">
        <v>27</v>
      </c>
      <c r="M829" t="s">
        <v>22</v>
      </c>
      <c r="N829" t="s">
        <v>23</v>
      </c>
      <c r="O829" t="str">
        <f t="shared" si="36"/>
        <v>October</v>
      </c>
      <c r="P829">
        <f t="shared" si="37"/>
        <v>10</v>
      </c>
      <c r="Q829">
        <f t="shared" si="38"/>
        <v>2023</v>
      </c>
    </row>
    <row r="830" spans="1:17" x14ac:dyDescent="0.25">
      <c r="A830">
        <v>1051</v>
      </c>
      <c r="B830" s="1">
        <v>45206</v>
      </c>
      <c r="C830" t="s">
        <v>14</v>
      </c>
      <c r="D830" t="s">
        <v>21</v>
      </c>
      <c r="E830" s="4">
        <v>8047.83</v>
      </c>
      <c r="F830" s="2">
        <v>3</v>
      </c>
      <c r="G830" t="s">
        <v>16</v>
      </c>
      <c r="H830">
        <v>3434.75</v>
      </c>
      <c r="I830">
        <v>3659.42</v>
      </c>
      <c r="J830" t="s">
        <v>30</v>
      </c>
      <c r="K830" s="5">
        <v>0.16</v>
      </c>
      <c r="L830" t="s">
        <v>18</v>
      </c>
      <c r="M830" t="s">
        <v>19</v>
      </c>
      <c r="N830" t="s">
        <v>23</v>
      </c>
      <c r="O830" t="str">
        <f t="shared" si="36"/>
        <v>October</v>
      </c>
      <c r="P830">
        <f t="shared" si="37"/>
        <v>10</v>
      </c>
      <c r="Q830">
        <f t="shared" si="38"/>
        <v>2023</v>
      </c>
    </row>
    <row r="831" spans="1:17" x14ac:dyDescent="0.25">
      <c r="A831">
        <v>1045</v>
      </c>
      <c r="B831" s="1">
        <v>44938</v>
      </c>
      <c r="C831" t="s">
        <v>33</v>
      </c>
      <c r="D831" t="s">
        <v>25</v>
      </c>
      <c r="E831" s="4">
        <v>9613.11</v>
      </c>
      <c r="F831" s="2">
        <v>35</v>
      </c>
      <c r="G831" t="s">
        <v>16</v>
      </c>
      <c r="H831">
        <v>3777.94</v>
      </c>
      <c r="I831">
        <v>4188.66</v>
      </c>
      <c r="J831" t="s">
        <v>30</v>
      </c>
      <c r="K831" s="5">
        <v>0.17</v>
      </c>
      <c r="L831" t="s">
        <v>27</v>
      </c>
      <c r="M831" t="s">
        <v>19</v>
      </c>
      <c r="N831" t="s">
        <v>44</v>
      </c>
      <c r="O831" t="str">
        <f t="shared" si="36"/>
        <v>January</v>
      </c>
      <c r="P831">
        <f t="shared" si="37"/>
        <v>1</v>
      </c>
      <c r="Q831">
        <f t="shared" si="38"/>
        <v>2023</v>
      </c>
    </row>
    <row r="832" spans="1:17" x14ac:dyDescent="0.25">
      <c r="A832">
        <v>1077</v>
      </c>
      <c r="B832" s="1">
        <v>45200</v>
      </c>
      <c r="C832" t="s">
        <v>42</v>
      </c>
      <c r="D832" t="s">
        <v>21</v>
      </c>
      <c r="E832" s="4">
        <v>5405.76</v>
      </c>
      <c r="F832" s="2">
        <v>5</v>
      </c>
      <c r="G832" t="s">
        <v>35</v>
      </c>
      <c r="H832">
        <v>3650.89</v>
      </c>
      <c r="I832">
        <v>3930.06</v>
      </c>
      <c r="J832" t="s">
        <v>30</v>
      </c>
      <c r="K832" s="5">
        <v>0.17</v>
      </c>
      <c r="L832" t="s">
        <v>27</v>
      </c>
      <c r="M832" t="s">
        <v>19</v>
      </c>
      <c r="N832" t="s">
        <v>51</v>
      </c>
      <c r="O832" t="str">
        <f t="shared" si="36"/>
        <v>October</v>
      </c>
      <c r="P832">
        <f t="shared" si="37"/>
        <v>10</v>
      </c>
      <c r="Q832">
        <f t="shared" si="38"/>
        <v>2023</v>
      </c>
    </row>
    <row r="833" spans="1:17" x14ac:dyDescent="0.25">
      <c r="A833">
        <v>1004</v>
      </c>
      <c r="B833" s="1">
        <v>45197</v>
      </c>
      <c r="C833" t="s">
        <v>38</v>
      </c>
      <c r="D833" t="s">
        <v>25</v>
      </c>
      <c r="E833" s="4">
        <v>4936.1099999999997</v>
      </c>
      <c r="F833" s="2">
        <v>27</v>
      </c>
      <c r="G833" t="s">
        <v>29</v>
      </c>
      <c r="H833">
        <v>4354.6000000000004</v>
      </c>
      <c r="I833">
        <v>4820.2</v>
      </c>
      <c r="J833" t="s">
        <v>30</v>
      </c>
      <c r="K833" s="5">
        <v>0.14000000000000001</v>
      </c>
      <c r="L833" t="s">
        <v>31</v>
      </c>
      <c r="M833" t="s">
        <v>22</v>
      </c>
      <c r="N833" t="s">
        <v>39</v>
      </c>
      <c r="O833" t="str">
        <f t="shared" si="36"/>
        <v>September</v>
      </c>
      <c r="P833">
        <f t="shared" si="37"/>
        <v>9</v>
      </c>
      <c r="Q833">
        <f t="shared" si="38"/>
        <v>2023</v>
      </c>
    </row>
    <row r="834" spans="1:17" x14ac:dyDescent="0.25">
      <c r="A834">
        <v>1062</v>
      </c>
      <c r="B834" s="1">
        <v>45134</v>
      </c>
      <c r="C834" t="s">
        <v>24</v>
      </c>
      <c r="D834" t="s">
        <v>25</v>
      </c>
      <c r="E834" s="4">
        <v>4078.68</v>
      </c>
      <c r="F834" s="2">
        <v>44</v>
      </c>
      <c r="G834" t="s">
        <v>35</v>
      </c>
      <c r="H834">
        <v>987.74</v>
      </c>
      <c r="I834">
        <v>1462.19</v>
      </c>
      <c r="J834" t="s">
        <v>30</v>
      </c>
      <c r="K834" s="5">
        <v>0.24</v>
      </c>
      <c r="L834" t="s">
        <v>27</v>
      </c>
      <c r="M834" t="s">
        <v>19</v>
      </c>
      <c r="N834" t="s">
        <v>28</v>
      </c>
      <c r="O834" t="str">
        <f t="shared" ref="O834:O897" si="39">TEXT(B834,"mmmm")</f>
        <v>July</v>
      </c>
      <c r="P834">
        <f t="shared" ref="P834:P897" si="40">MONTH(B834)</f>
        <v>7</v>
      </c>
      <c r="Q834">
        <f t="shared" ref="Q834:Q897" si="41">YEAR(B834)</f>
        <v>2023</v>
      </c>
    </row>
    <row r="835" spans="1:17" x14ac:dyDescent="0.25">
      <c r="A835">
        <v>1065</v>
      </c>
      <c r="B835" s="1">
        <v>44953</v>
      </c>
      <c r="C835" t="s">
        <v>14</v>
      </c>
      <c r="D835" t="s">
        <v>25</v>
      </c>
      <c r="E835" s="4">
        <v>1621.54</v>
      </c>
      <c r="F835" s="2">
        <v>12</v>
      </c>
      <c r="G835" t="s">
        <v>35</v>
      </c>
      <c r="H835">
        <v>2035.68</v>
      </c>
      <c r="I835">
        <v>2079.64</v>
      </c>
      <c r="J835" t="s">
        <v>17</v>
      </c>
      <c r="K835" s="5">
        <v>0.04</v>
      </c>
      <c r="L835" t="s">
        <v>18</v>
      </c>
      <c r="M835" t="s">
        <v>19</v>
      </c>
      <c r="N835" t="s">
        <v>32</v>
      </c>
      <c r="O835" t="str">
        <f t="shared" si="39"/>
        <v>January</v>
      </c>
      <c r="P835">
        <f t="shared" si="40"/>
        <v>1</v>
      </c>
      <c r="Q835">
        <f t="shared" si="41"/>
        <v>2023</v>
      </c>
    </row>
    <row r="836" spans="1:17" x14ac:dyDescent="0.25">
      <c r="A836">
        <v>1032</v>
      </c>
      <c r="B836" s="1">
        <v>44998</v>
      </c>
      <c r="C836" t="s">
        <v>42</v>
      </c>
      <c r="D836" t="s">
        <v>15</v>
      </c>
      <c r="E836" s="4">
        <v>5768.81</v>
      </c>
      <c r="F836" s="2">
        <v>20</v>
      </c>
      <c r="G836" t="s">
        <v>35</v>
      </c>
      <c r="H836">
        <v>4741.59</v>
      </c>
      <c r="I836">
        <v>4975.2299999999996</v>
      </c>
      <c r="J836" t="s">
        <v>30</v>
      </c>
      <c r="K836" s="5">
        <v>0.09</v>
      </c>
      <c r="L836" t="s">
        <v>31</v>
      </c>
      <c r="M836" t="s">
        <v>19</v>
      </c>
      <c r="N836" t="s">
        <v>49</v>
      </c>
      <c r="O836" t="str">
        <f t="shared" si="39"/>
        <v>March</v>
      </c>
      <c r="P836">
        <f t="shared" si="40"/>
        <v>3</v>
      </c>
      <c r="Q836">
        <f t="shared" si="41"/>
        <v>2023</v>
      </c>
    </row>
    <row r="837" spans="1:17" x14ac:dyDescent="0.25">
      <c r="A837">
        <v>1034</v>
      </c>
      <c r="B837" s="1">
        <v>44986</v>
      </c>
      <c r="C837" t="s">
        <v>33</v>
      </c>
      <c r="D837" t="s">
        <v>21</v>
      </c>
      <c r="E837" s="4">
        <v>2842.42</v>
      </c>
      <c r="F837" s="2">
        <v>45</v>
      </c>
      <c r="G837" t="s">
        <v>26</v>
      </c>
      <c r="H837">
        <v>2013.12</v>
      </c>
      <c r="I837">
        <v>2321.87</v>
      </c>
      <c r="J837" t="s">
        <v>30</v>
      </c>
      <c r="K837" s="5">
        <v>0.18</v>
      </c>
      <c r="L837" t="s">
        <v>27</v>
      </c>
      <c r="M837" t="s">
        <v>22</v>
      </c>
      <c r="N837" t="s">
        <v>37</v>
      </c>
      <c r="O837" t="str">
        <f t="shared" si="39"/>
        <v>March</v>
      </c>
      <c r="P837">
        <f t="shared" si="40"/>
        <v>3</v>
      </c>
      <c r="Q837">
        <f t="shared" si="41"/>
        <v>2023</v>
      </c>
    </row>
    <row r="838" spans="1:17" x14ac:dyDescent="0.25">
      <c r="A838">
        <v>1092</v>
      </c>
      <c r="B838" s="1">
        <v>45071</v>
      </c>
      <c r="C838" t="s">
        <v>14</v>
      </c>
      <c r="D838" t="s">
        <v>34</v>
      </c>
      <c r="E838" s="4">
        <v>9220.94</v>
      </c>
      <c r="F838" s="2">
        <v>20</v>
      </c>
      <c r="G838" t="s">
        <v>26</v>
      </c>
      <c r="H838">
        <v>668.11</v>
      </c>
      <c r="I838">
        <v>803.49</v>
      </c>
      <c r="J838" t="s">
        <v>30</v>
      </c>
      <c r="K838" s="5">
        <v>0.21</v>
      </c>
      <c r="L838" t="s">
        <v>27</v>
      </c>
      <c r="M838" t="s">
        <v>19</v>
      </c>
      <c r="N838" t="s">
        <v>46</v>
      </c>
      <c r="O838" t="str">
        <f t="shared" si="39"/>
        <v>May</v>
      </c>
      <c r="P838">
        <f t="shared" si="40"/>
        <v>5</v>
      </c>
      <c r="Q838">
        <f t="shared" si="41"/>
        <v>2023</v>
      </c>
    </row>
    <row r="839" spans="1:17" x14ac:dyDescent="0.25">
      <c r="A839">
        <v>1095</v>
      </c>
      <c r="B839" s="1">
        <v>45019</v>
      </c>
      <c r="C839" t="s">
        <v>33</v>
      </c>
      <c r="D839" t="s">
        <v>34</v>
      </c>
      <c r="E839" s="4">
        <v>5873.59</v>
      </c>
      <c r="F839" s="2">
        <v>9</v>
      </c>
      <c r="G839" t="s">
        <v>26</v>
      </c>
      <c r="H839">
        <v>2650.95</v>
      </c>
      <c r="I839">
        <v>2860.4199999999901</v>
      </c>
      <c r="J839" t="s">
        <v>30</v>
      </c>
      <c r="K839" s="5">
        <v>0.12</v>
      </c>
      <c r="L839" t="s">
        <v>18</v>
      </c>
      <c r="M839" t="s">
        <v>22</v>
      </c>
      <c r="N839" t="s">
        <v>36</v>
      </c>
      <c r="O839" t="str">
        <f t="shared" si="39"/>
        <v>April</v>
      </c>
      <c r="P839">
        <f t="shared" si="40"/>
        <v>4</v>
      </c>
      <c r="Q839">
        <f t="shared" si="41"/>
        <v>2023</v>
      </c>
    </row>
    <row r="840" spans="1:17" x14ac:dyDescent="0.25">
      <c r="A840">
        <v>1072</v>
      </c>
      <c r="B840" s="1">
        <v>45235</v>
      </c>
      <c r="C840" t="s">
        <v>24</v>
      </c>
      <c r="D840" t="s">
        <v>21</v>
      </c>
      <c r="E840" s="4">
        <v>5969.12</v>
      </c>
      <c r="F840" s="2">
        <v>39</v>
      </c>
      <c r="G840" t="s">
        <v>29</v>
      </c>
      <c r="H840">
        <v>591.98</v>
      </c>
      <c r="I840">
        <v>934.04</v>
      </c>
      <c r="J840" t="s">
        <v>30</v>
      </c>
      <c r="K840" s="5">
        <v>0.26</v>
      </c>
      <c r="L840" t="s">
        <v>27</v>
      </c>
      <c r="M840" t="s">
        <v>22</v>
      </c>
      <c r="N840" t="s">
        <v>47</v>
      </c>
      <c r="O840" t="str">
        <f t="shared" si="39"/>
        <v>November</v>
      </c>
      <c r="P840">
        <f t="shared" si="40"/>
        <v>11</v>
      </c>
      <c r="Q840">
        <f t="shared" si="41"/>
        <v>2023</v>
      </c>
    </row>
    <row r="841" spans="1:17" x14ac:dyDescent="0.25">
      <c r="A841">
        <v>1039</v>
      </c>
      <c r="B841" s="1">
        <v>44934</v>
      </c>
      <c r="C841" t="s">
        <v>38</v>
      </c>
      <c r="D841" t="s">
        <v>25</v>
      </c>
      <c r="E841" s="4">
        <v>3613.75</v>
      </c>
      <c r="F841" s="2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 s="5">
        <v>0.12</v>
      </c>
      <c r="L841" t="s">
        <v>27</v>
      </c>
      <c r="M841" t="s">
        <v>22</v>
      </c>
      <c r="N841" t="s">
        <v>39</v>
      </c>
      <c r="O841" t="str">
        <f t="shared" si="39"/>
        <v>January</v>
      </c>
      <c r="P841">
        <f t="shared" si="40"/>
        <v>1</v>
      </c>
      <c r="Q841">
        <f t="shared" si="41"/>
        <v>2023</v>
      </c>
    </row>
    <row r="842" spans="1:17" x14ac:dyDescent="0.25">
      <c r="A842">
        <v>1026</v>
      </c>
      <c r="B842" s="1">
        <v>45005</v>
      </c>
      <c r="C842" t="s">
        <v>14</v>
      </c>
      <c r="D842" t="s">
        <v>34</v>
      </c>
      <c r="E842" s="4">
        <v>614.69000000000005</v>
      </c>
      <c r="F842" s="2">
        <v>19</v>
      </c>
      <c r="G842" t="s">
        <v>35</v>
      </c>
      <c r="H842">
        <v>4991.68</v>
      </c>
      <c r="I842">
        <v>5296.65</v>
      </c>
      <c r="J842" t="s">
        <v>30</v>
      </c>
      <c r="K842" s="5">
        <v>0.12</v>
      </c>
      <c r="L842" t="s">
        <v>27</v>
      </c>
      <c r="M842" t="s">
        <v>19</v>
      </c>
      <c r="N842" t="s">
        <v>46</v>
      </c>
      <c r="O842" t="str">
        <f t="shared" si="39"/>
        <v>March</v>
      </c>
      <c r="P842">
        <f t="shared" si="40"/>
        <v>3</v>
      </c>
      <c r="Q842">
        <f t="shared" si="41"/>
        <v>2023</v>
      </c>
    </row>
    <row r="843" spans="1:17" x14ac:dyDescent="0.25">
      <c r="A843">
        <v>1034</v>
      </c>
      <c r="B843" s="1">
        <v>44953</v>
      </c>
      <c r="C843" t="s">
        <v>14</v>
      </c>
      <c r="D843" t="s">
        <v>34</v>
      </c>
      <c r="E843" s="4">
        <v>414.26</v>
      </c>
      <c r="F843" s="2">
        <v>38</v>
      </c>
      <c r="G843" t="s">
        <v>26</v>
      </c>
      <c r="H843">
        <v>2729.75</v>
      </c>
      <c r="I843">
        <v>3081.5</v>
      </c>
      <c r="J843" t="s">
        <v>30</v>
      </c>
      <c r="K843" s="5">
        <v>0.01</v>
      </c>
      <c r="L843" t="s">
        <v>27</v>
      </c>
      <c r="M843" t="s">
        <v>19</v>
      </c>
      <c r="N843" t="s">
        <v>46</v>
      </c>
      <c r="O843" t="str">
        <f t="shared" si="39"/>
        <v>January</v>
      </c>
      <c r="P843">
        <f t="shared" si="40"/>
        <v>1</v>
      </c>
      <c r="Q843">
        <f t="shared" si="41"/>
        <v>2023</v>
      </c>
    </row>
    <row r="844" spans="1:17" x14ac:dyDescent="0.25">
      <c r="A844">
        <v>1054</v>
      </c>
      <c r="B844" s="1">
        <v>45100</v>
      </c>
      <c r="C844" t="s">
        <v>24</v>
      </c>
      <c r="D844" t="s">
        <v>21</v>
      </c>
      <c r="E844" s="4">
        <v>4291.0200000000004</v>
      </c>
      <c r="F844" s="2">
        <v>27</v>
      </c>
      <c r="G844" t="s">
        <v>35</v>
      </c>
      <c r="H844">
        <v>1456.09</v>
      </c>
      <c r="I844">
        <v>1510.4299999999901</v>
      </c>
      <c r="J844" t="s">
        <v>17</v>
      </c>
      <c r="K844" s="5">
        <v>0.17</v>
      </c>
      <c r="L844" t="s">
        <v>18</v>
      </c>
      <c r="M844" t="s">
        <v>22</v>
      </c>
      <c r="N844" t="s">
        <v>47</v>
      </c>
      <c r="O844" t="str">
        <f t="shared" si="39"/>
        <v>June</v>
      </c>
      <c r="P844">
        <f t="shared" si="40"/>
        <v>6</v>
      </c>
      <c r="Q844">
        <f t="shared" si="41"/>
        <v>2023</v>
      </c>
    </row>
    <row r="845" spans="1:17" x14ac:dyDescent="0.25">
      <c r="A845">
        <v>1003</v>
      </c>
      <c r="B845" s="1">
        <v>44976</v>
      </c>
      <c r="C845" t="s">
        <v>42</v>
      </c>
      <c r="D845" t="s">
        <v>34</v>
      </c>
      <c r="E845" s="4">
        <v>937.2</v>
      </c>
      <c r="F845" s="2">
        <v>45</v>
      </c>
      <c r="G845" t="s">
        <v>35</v>
      </c>
      <c r="H845">
        <v>4974.1400000000003</v>
      </c>
      <c r="I845">
        <v>5227.93</v>
      </c>
      <c r="J845" t="s">
        <v>30</v>
      </c>
      <c r="K845" s="5">
        <v>0.21</v>
      </c>
      <c r="L845" t="s">
        <v>27</v>
      </c>
      <c r="M845" t="s">
        <v>19</v>
      </c>
      <c r="N845" t="s">
        <v>52</v>
      </c>
      <c r="O845" t="str">
        <f t="shared" si="39"/>
        <v>February</v>
      </c>
      <c r="P845">
        <f t="shared" si="40"/>
        <v>2</v>
      </c>
      <c r="Q845">
        <f t="shared" si="41"/>
        <v>2023</v>
      </c>
    </row>
    <row r="846" spans="1:17" x14ac:dyDescent="0.25">
      <c r="A846">
        <v>1050</v>
      </c>
      <c r="B846" s="1">
        <v>45125</v>
      </c>
      <c r="C846" t="s">
        <v>38</v>
      </c>
      <c r="D846" t="s">
        <v>25</v>
      </c>
      <c r="E846" s="4">
        <v>6107.78</v>
      </c>
      <c r="F846" s="2">
        <v>43</v>
      </c>
      <c r="G846" t="s">
        <v>16</v>
      </c>
      <c r="H846">
        <v>4834.47</v>
      </c>
      <c r="I846">
        <v>4973.38</v>
      </c>
      <c r="J846" t="s">
        <v>17</v>
      </c>
      <c r="K846" s="5">
        <v>0.03</v>
      </c>
      <c r="L846" t="s">
        <v>27</v>
      </c>
      <c r="M846" t="s">
        <v>19</v>
      </c>
      <c r="N846" t="s">
        <v>39</v>
      </c>
      <c r="O846" t="str">
        <f t="shared" si="39"/>
        <v>July</v>
      </c>
      <c r="P846">
        <f t="shared" si="40"/>
        <v>7</v>
      </c>
      <c r="Q846">
        <f t="shared" si="41"/>
        <v>2023</v>
      </c>
    </row>
    <row r="847" spans="1:17" x14ac:dyDescent="0.25">
      <c r="A847">
        <v>1012</v>
      </c>
      <c r="B847" s="1">
        <v>45275</v>
      </c>
      <c r="C847" t="s">
        <v>14</v>
      </c>
      <c r="D847" t="s">
        <v>21</v>
      </c>
      <c r="E847" s="4">
        <v>8821.6299999999992</v>
      </c>
      <c r="F847" s="2">
        <v>13</v>
      </c>
      <c r="G847" t="s">
        <v>35</v>
      </c>
      <c r="H847">
        <v>2231.66</v>
      </c>
      <c r="I847">
        <v>2596.6099999999901</v>
      </c>
      <c r="J847" t="s">
        <v>17</v>
      </c>
      <c r="K847" s="5">
        <v>0.09</v>
      </c>
      <c r="L847" t="s">
        <v>27</v>
      </c>
      <c r="M847" t="s">
        <v>22</v>
      </c>
      <c r="N847" t="s">
        <v>23</v>
      </c>
      <c r="O847" t="str">
        <f t="shared" si="39"/>
        <v>December</v>
      </c>
      <c r="P847">
        <f t="shared" si="40"/>
        <v>12</v>
      </c>
      <c r="Q847">
        <f t="shared" si="41"/>
        <v>2023</v>
      </c>
    </row>
    <row r="848" spans="1:17" x14ac:dyDescent="0.25">
      <c r="A848">
        <v>1065</v>
      </c>
      <c r="B848" s="1">
        <v>45107</v>
      </c>
      <c r="C848" t="s">
        <v>38</v>
      </c>
      <c r="D848" t="s">
        <v>25</v>
      </c>
      <c r="E848" s="4">
        <v>8840.86</v>
      </c>
      <c r="F848" s="2">
        <v>13</v>
      </c>
      <c r="G848" t="s">
        <v>16</v>
      </c>
      <c r="H848">
        <v>1339</v>
      </c>
      <c r="I848">
        <v>1441.88</v>
      </c>
      <c r="J848" t="s">
        <v>17</v>
      </c>
      <c r="K848" s="5">
        <v>0.23</v>
      </c>
      <c r="L848" t="s">
        <v>31</v>
      </c>
      <c r="M848" t="s">
        <v>22</v>
      </c>
      <c r="N848" t="s">
        <v>39</v>
      </c>
      <c r="O848" t="str">
        <f t="shared" si="39"/>
        <v>June</v>
      </c>
      <c r="P848">
        <f t="shared" si="40"/>
        <v>6</v>
      </c>
      <c r="Q848">
        <f t="shared" si="41"/>
        <v>2023</v>
      </c>
    </row>
    <row r="849" spans="1:17" x14ac:dyDescent="0.25">
      <c r="A849">
        <v>1054</v>
      </c>
      <c r="B849" s="1">
        <v>44950</v>
      </c>
      <c r="C849" t="s">
        <v>14</v>
      </c>
      <c r="D849" t="s">
        <v>34</v>
      </c>
      <c r="E849" s="4">
        <v>6624.55</v>
      </c>
      <c r="F849" s="2">
        <v>22</v>
      </c>
      <c r="G849" t="s">
        <v>35</v>
      </c>
      <c r="H849">
        <v>4200.08</v>
      </c>
      <c r="I849">
        <v>4647.28</v>
      </c>
      <c r="J849" t="s">
        <v>17</v>
      </c>
      <c r="K849" s="5">
        <v>0.11</v>
      </c>
      <c r="L849" t="s">
        <v>18</v>
      </c>
      <c r="M849" t="s">
        <v>19</v>
      </c>
      <c r="N849" t="s">
        <v>46</v>
      </c>
      <c r="O849" t="str">
        <f t="shared" si="39"/>
        <v>January</v>
      </c>
      <c r="P849">
        <f t="shared" si="40"/>
        <v>1</v>
      </c>
      <c r="Q849">
        <f t="shared" si="41"/>
        <v>2023</v>
      </c>
    </row>
    <row r="850" spans="1:17" x14ac:dyDescent="0.25">
      <c r="A850">
        <v>1005</v>
      </c>
      <c r="B850" s="1">
        <v>45242</v>
      </c>
      <c r="C850" t="s">
        <v>38</v>
      </c>
      <c r="D850" t="s">
        <v>34</v>
      </c>
      <c r="E850" s="4">
        <v>2191.1999999999998</v>
      </c>
      <c r="F850" s="2">
        <v>28</v>
      </c>
      <c r="G850" t="s">
        <v>29</v>
      </c>
      <c r="H850">
        <v>3592.32</v>
      </c>
      <c r="I850">
        <v>3813.48</v>
      </c>
      <c r="J850" t="s">
        <v>30</v>
      </c>
      <c r="K850" s="5">
        <v>7.0000000000000007E-2</v>
      </c>
      <c r="L850" t="s">
        <v>31</v>
      </c>
      <c r="M850" t="s">
        <v>22</v>
      </c>
      <c r="N850" t="s">
        <v>48</v>
      </c>
      <c r="O850" t="str">
        <f t="shared" si="39"/>
        <v>November</v>
      </c>
      <c r="P850">
        <f t="shared" si="40"/>
        <v>11</v>
      </c>
      <c r="Q850">
        <f t="shared" si="41"/>
        <v>2023</v>
      </c>
    </row>
    <row r="851" spans="1:17" x14ac:dyDescent="0.25">
      <c r="A851">
        <v>1094</v>
      </c>
      <c r="B851" s="1">
        <v>44972</v>
      </c>
      <c r="C851" t="s">
        <v>33</v>
      </c>
      <c r="D851" t="s">
        <v>25</v>
      </c>
      <c r="E851" s="4">
        <v>8643.67</v>
      </c>
      <c r="F851" s="2">
        <v>47</v>
      </c>
      <c r="G851" t="s">
        <v>26</v>
      </c>
      <c r="H851">
        <v>3450.36</v>
      </c>
      <c r="I851">
        <v>3557.38</v>
      </c>
      <c r="J851" t="s">
        <v>30</v>
      </c>
      <c r="K851" s="5">
        <v>0.2</v>
      </c>
      <c r="L851" t="s">
        <v>31</v>
      </c>
      <c r="M851" t="s">
        <v>19</v>
      </c>
      <c r="N851" t="s">
        <v>44</v>
      </c>
      <c r="O851" t="str">
        <f t="shared" si="39"/>
        <v>February</v>
      </c>
      <c r="P851">
        <f t="shared" si="40"/>
        <v>2</v>
      </c>
      <c r="Q851">
        <f t="shared" si="41"/>
        <v>2023</v>
      </c>
    </row>
    <row r="852" spans="1:17" x14ac:dyDescent="0.25">
      <c r="A852">
        <v>1094</v>
      </c>
      <c r="B852" s="1">
        <v>44941</v>
      </c>
      <c r="C852" t="s">
        <v>14</v>
      </c>
      <c r="D852" t="s">
        <v>15</v>
      </c>
      <c r="E852" s="4">
        <v>8872.33</v>
      </c>
      <c r="F852" s="2">
        <v>45</v>
      </c>
      <c r="G852" t="s">
        <v>16</v>
      </c>
      <c r="H852">
        <v>4470.91</v>
      </c>
      <c r="I852">
        <v>4695.54</v>
      </c>
      <c r="J852" t="s">
        <v>17</v>
      </c>
      <c r="K852" s="5">
        <v>0.06</v>
      </c>
      <c r="L852" t="s">
        <v>18</v>
      </c>
      <c r="M852" t="s">
        <v>22</v>
      </c>
      <c r="N852" t="s">
        <v>20</v>
      </c>
      <c r="O852" t="str">
        <f t="shared" si="39"/>
        <v>January</v>
      </c>
      <c r="P852">
        <f t="shared" si="40"/>
        <v>1</v>
      </c>
      <c r="Q852">
        <f t="shared" si="41"/>
        <v>2023</v>
      </c>
    </row>
    <row r="853" spans="1:17" x14ac:dyDescent="0.25">
      <c r="A853">
        <v>1057</v>
      </c>
      <c r="B853" s="1">
        <v>45079</v>
      </c>
      <c r="C853" t="s">
        <v>38</v>
      </c>
      <c r="D853" t="s">
        <v>34</v>
      </c>
      <c r="E853" s="4">
        <v>2046.87</v>
      </c>
      <c r="F853" s="2">
        <v>22</v>
      </c>
      <c r="G853" t="s">
        <v>26</v>
      </c>
      <c r="H853">
        <v>3462.61</v>
      </c>
      <c r="I853">
        <v>3672.89</v>
      </c>
      <c r="J853" t="s">
        <v>17</v>
      </c>
      <c r="K853" s="5">
        <v>0.27</v>
      </c>
      <c r="L853" t="s">
        <v>31</v>
      </c>
      <c r="M853" t="s">
        <v>19</v>
      </c>
      <c r="N853" t="s">
        <v>48</v>
      </c>
      <c r="O853" t="str">
        <f t="shared" si="39"/>
        <v>June</v>
      </c>
      <c r="P853">
        <f t="shared" si="40"/>
        <v>6</v>
      </c>
      <c r="Q853">
        <f t="shared" si="41"/>
        <v>2023</v>
      </c>
    </row>
    <row r="854" spans="1:17" x14ac:dyDescent="0.25">
      <c r="A854">
        <v>1017</v>
      </c>
      <c r="B854" s="1">
        <v>45148</v>
      </c>
      <c r="C854" t="s">
        <v>42</v>
      </c>
      <c r="D854" t="s">
        <v>15</v>
      </c>
      <c r="E854" s="4">
        <v>7400.52</v>
      </c>
      <c r="F854" s="2">
        <v>43</v>
      </c>
      <c r="G854" t="s">
        <v>16</v>
      </c>
      <c r="H854">
        <v>1454.8</v>
      </c>
      <c r="I854">
        <v>1674.97</v>
      </c>
      <c r="J854" t="s">
        <v>30</v>
      </c>
      <c r="K854" s="5">
        <v>0.03</v>
      </c>
      <c r="L854" t="s">
        <v>31</v>
      </c>
      <c r="M854" t="s">
        <v>19</v>
      </c>
      <c r="N854" t="s">
        <v>49</v>
      </c>
      <c r="O854" t="str">
        <f t="shared" si="39"/>
        <v>August</v>
      </c>
      <c r="P854">
        <f t="shared" si="40"/>
        <v>8</v>
      </c>
      <c r="Q854">
        <f t="shared" si="41"/>
        <v>2023</v>
      </c>
    </row>
    <row r="855" spans="1:17" x14ac:dyDescent="0.25">
      <c r="A855">
        <v>1047</v>
      </c>
      <c r="B855" s="1">
        <v>45132</v>
      </c>
      <c r="C855" t="s">
        <v>33</v>
      </c>
      <c r="D855" t="s">
        <v>34</v>
      </c>
      <c r="E855" s="4">
        <v>2936.54</v>
      </c>
      <c r="F855" s="2">
        <v>19</v>
      </c>
      <c r="G855" t="s">
        <v>16</v>
      </c>
      <c r="H855">
        <v>3484.62</v>
      </c>
      <c r="I855">
        <v>3781.5499999999902</v>
      </c>
      <c r="J855" t="s">
        <v>17</v>
      </c>
      <c r="K855" s="5">
        <v>0.21</v>
      </c>
      <c r="L855" t="s">
        <v>31</v>
      </c>
      <c r="M855" t="s">
        <v>22</v>
      </c>
      <c r="N855" t="s">
        <v>36</v>
      </c>
      <c r="O855" t="str">
        <f t="shared" si="39"/>
        <v>July</v>
      </c>
      <c r="P855">
        <f t="shared" si="40"/>
        <v>7</v>
      </c>
      <c r="Q855">
        <f t="shared" si="41"/>
        <v>2023</v>
      </c>
    </row>
    <row r="856" spans="1:17" x14ac:dyDescent="0.25">
      <c r="A856">
        <v>1023</v>
      </c>
      <c r="B856" s="1">
        <v>45199</v>
      </c>
      <c r="C856" t="s">
        <v>33</v>
      </c>
      <c r="D856" t="s">
        <v>15</v>
      </c>
      <c r="E856" s="4">
        <v>8046.14</v>
      </c>
      <c r="F856" s="2">
        <v>8</v>
      </c>
      <c r="G856" t="s">
        <v>16</v>
      </c>
      <c r="H856">
        <v>1563.78</v>
      </c>
      <c r="I856">
        <v>1829.1599999999901</v>
      </c>
      <c r="J856" t="s">
        <v>17</v>
      </c>
      <c r="K856" s="5">
        <v>0.15</v>
      </c>
      <c r="L856" t="s">
        <v>18</v>
      </c>
      <c r="M856" t="s">
        <v>19</v>
      </c>
      <c r="N856" t="s">
        <v>53</v>
      </c>
      <c r="O856" t="str">
        <f t="shared" si="39"/>
        <v>September</v>
      </c>
      <c r="P856">
        <f t="shared" si="40"/>
        <v>9</v>
      </c>
      <c r="Q856">
        <f t="shared" si="41"/>
        <v>2023</v>
      </c>
    </row>
    <row r="857" spans="1:17" x14ac:dyDescent="0.25">
      <c r="A857">
        <v>1079</v>
      </c>
      <c r="B857" s="1">
        <v>45162</v>
      </c>
      <c r="C857" t="s">
        <v>42</v>
      </c>
      <c r="D857" t="s">
        <v>15</v>
      </c>
      <c r="E857" s="4">
        <v>9972.66</v>
      </c>
      <c r="F857" s="2">
        <v>8</v>
      </c>
      <c r="G857" t="s">
        <v>29</v>
      </c>
      <c r="H857">
        <v>3808.23</v>
      </c>
      <c r="I857">
        <v>3891.62</v>
      </c>
      <c r="J857" t="s">
        <v>17</v>
      </c>
      <c r="K857" s="5">
        <v>0.26</v>
      </c>
      <c r="L857" t="s">
        <v>27</v>
      </c>
      <c r="M857" t="s">
        <v>19</v>
      </c>
      <c r="N857" t="s">
        <v>49</v>
      </c>
      <c r="O857" t="str">
        <f t="shared" si="39"/>
        <v>August</v>
      </c>
      <c r="P857">
        <f t="shared" si="40"/>
        <v>8</v>
      </c>
      <c r="Q857">
        <f t="shared" si="41"/>
        <v>2023</v>
      </c>
    </row>
    <row r="858" spans="1:17" x14ac:dyDescent="0.25">
      <c r="A858">
        <v>1085</v>
      </c>
      <c r="B858" s="1">
        <v>45266</v>
      </c>
      <c r="C858" t="s">
        <v>38</v>
      </c>
      <c r="D858" t="s">
        <v>15</v>
      </c>
      <c r="E858" s="4">
        <v>397.26</v>
      </c>
      <c r="F858" s="2">
        <v>42</v>
      </c>
      <c r="G858" t="s">
        <v>35</v>
      </c>
      <c r="H858">
        <v>3117.75</v>
      </c>
      <c r="I858">
        <v>3159.88</v>
      </c>
      <c r="J858" t="s">
        <v>30</v>
      </c>
      <c r="K858" s="5">
        <v>0.04</v>
      </c>
      <c r="L858" t="s">
        <v>18</v>
      </c>
      <c r="M858" t="s">
        <v>22</v>
      </c>
      <c r="N858" t="s">
        <v>40</v>
      </c>
      <c r="O858" t="str">
        <f t="shared" si="39"/>
        <v>December</v>
      </c>
      <c r="P858">
        <f t="shared" si="40"/>
        <v>12</v>
      </c>
      <c r="Q858">
        <f t="shared" si="41"/>
        <v>2023</v>
      </c>
    </row>
    <row r="859" spans="1:17" x14ac:dyDescent="0.25">
      <c r="A859">
        <v>1014</v>
      </c>
      <c r="B859" s="1">
        <v>45154</v>
      </c>
      <c r="C859" t="s">
        <v>24</v>
      </c>
      <c r="D859" t="s">
        <v>25</v>
      </c>
      <c r="E859" s="4">
        <v>8983.92</v>
      </c>
      <c r="F859" s="2">
        <v>26</v>
      </c>
      <c r="G859" t="s">
        <v>16</v>
      </c>
      <c r="H859">
        <v>433.19</v>
      </c>
      <c r="I859">
        <v>800.6</v>
      </c>
      <c r="J859" t="s">
        <v>17</v>
      </c>
      <c r="K859" s="5">
        <v>0.2</v>
      </c>
      <c r="L859" t="s">
        <v>18</v>
      </c>
      <c r="M859" t="s">
        <v>19</v>
      </c>
      <c r="N859" t="s">
        <v>28</v>
      </c>
      <c r="O859" t="str">
        <f t="shared" si="39"/>
        <v>August</v>
      </c>
      <c r="P859">
        <f t="shared" si="40"/>
        <v>8</v>
      </c>
      <c r="Q859">
        <f t="shared" si="41"/>
        <v>2023</v>
      </c>
    </row>
    <row r="860" spans="1:17" x14ac:dyDescent="0.25">
      <c r="A860">
        <v>1066</v>
      </c>
      <c r="B860" s="1">
        <v>44935</v>
      </c>
      <c r="C860" t="s">
        <v>42</v>
      </c>
      <c r="D860" t="s">
        <v>15</v>
      </c>
      <c r="E860" s="4">
        <v>6264.04</v>
      </c>
      <c r="F860" s="2">
        <v>48</v>
      </c>
      <c r="G860" t="s">
        <v>29</v>
      </c>
      <c r="H860">
        <v>2588.54</v>
      </c>
      <c r="I860">
        <v>2872.8</v>
      </c>
      <c r="J860" t="s">
        <v>30</v>
      </c>
      <c r="K860" s="5">
        <v>0.17</v>
      </c>
      <c r="L860" t="s">
        <v>18</v>
      </c>
      <c r="M860" t="s">
        <v>19</v>
      </c>
      <c r="N860" t="s">
        <v>49</v>
      </c>
      <c r="O860" t="str">
        <f t="shared" si="39"/>
        <v>January</v>
      </c>
      <c r="P860">
        <f t="shared" si="40"/>
        <v>1</v>
      </c>
      <c r="Q860">
        <f t="shared" si="41"/>
        <v>2023</v>
      </c>
    </row>
    <row r="861" spans="1:17" x14ac:dyDescent="0.25">
      <c r="A861">
        <v>1075</v>
      </c>
      <c r="B861" s="1">
        <v>45092</v>
      </c>
      <c r="C861" t="s">
        <v>38</v>
      </c>
      <c r="D861" t="s">
        <v>15</v>
      </c>
      <c r="E861" s="4">
        <v>9736.49</v>
      </c>
      <c r="F861" s="2">
        <v>26</v>
      </c>
      <c r="G861" t="s">
        <v>16</v>
      </c>
      <c r="H861">
        <v>1749.34</v>
      </c>
      <c r="I861">
        <v>1935.25</v>
      </c>
      <c r="J861" t="s">
        <v>30</v>
      </c>
      <c r="K861" s="5">
        <v>0.14000000000000001</v>
      </c>
      <c r="L861" t="s">
        <v>31</v>
      </c>
      <c r="M861" t="s">
        <v>19</v>
      </c>
      <c r="N861" t="s">
        <v>40</v>
      </c>
      <c r="O861" t="str">
        <f t="shared" si="39"/>
        <v>June</v>
      </c>
      <c r="P861">
        <f t="shared" si="40"/>
        <v>6</v>
      </c>
      <c r="Q861">
        <f t="shared" si="41"/>
        <v>2023</v>
      </c>
    </row>
    <row r="862" spans="1:17" x14ac:dyDescent="0.25">
      <c r="A862">
        <v>1051</v>
      </c>
      <c r="B862" s="1">
        <v>45245</v>
      </c>
      <c r="C862" t="s">
        <v>42</v>
      </c>
      <c r="D862" t="s">
        <v>15</v>
      </c>
      <c r="E862" s="4">
        <v>4703.59</v>
      </c>
      <c r="F862" s="2">
        <v>23</v>
      </c>
      <c r="G862" t="s">
        <v>35</v>
      </c>
      <c r="H862">
        <v>1676.42</v>
      </c>
      <c r="I862">
        <v>2082.52</v>
      </c>
      <c r="J862" t="s">
        <v>30</v>
      </c>
      <c r="K862" s="5">
        <v>0.15</v>
      </c>
      <c r="L862" t="s">
        <v>27</v>
      </c>
      <c r="M862" t="s">
        <v>22</v>
      </c>
      <c r="N862" t="s">
        <v>49</v>
      </c>
      <c r="O862" t="str">
        <f t="shared" si="39"/>
        <v>November</v>
      </c>
      <c r="P862">
        <f t="shared" si="40"/>
        <v>11</v>
      </c>
      <c r="Q862">
        <f t="shared" si="41"/>
        <v>2023</v>
      </c>
    </row>
    <row r="863" spans="1:17" x14ac:dyDescent="0.25">
      <c r="A863">
        <v>1038</v>
      </c>
      <c r="B863" s="1">
        <v>45140</v>
      </c>
      <c r="C863" t="s">
        <v>42</v>
      </c>
      <c r="D863" t="s">
        <v>34</v>
      </c>
      <c r="E863" s="4">
        <v>8489.14</v>
      </c>
      <c r="F863" s="2">
        <v>43</v>
      </c>
      <c r="G863" t="s">
        <v>16</v>
      </c>
      <c r="H863">
        <v>3031.17</v>
      </c>
      <c r="I863">
        <v>3231.32</v>
      </c>
      <c r="J863" t="s">
        <v>17</v>
      </c>
      <c r="K863" s="5">
        <v>0.22</v>
      </c>
      <c r="L863" t="s">
        <v>18</v>
      </c>
      <c r="M863" t="s">
        <v>22</v>
      </c>
      <c r="N863" t="s">
        <v>52</v>
      </c>
      <c r="O863" t="str">
        <f t="shared" si="39"/>
        <v>August</v>
      </c>
      <c r="P863">
        <f t="shared" si="40"/>
        <v>8</v>
      </c>
      <c r="Q863">
        <f t="shared" si="41"/>
        <v>2023</v>
      </c>
    </row>
    <row r="864" spans="1:17" x14ac:dyDescent="0.25">
      <c r="A864">
        <v>1064</v>
      </c>
      <c r="B864" s="1">
        <v>45043</v>
      </c>
      <c r="C864" t="s">
        <v>14</v>
      </c>
      <c r="D864" t="s">
        <v>15</v>
      </c>
      <c r="E864" s="4">
        <v>717.7</v>
      </c>
      <c r="F864" s="2">
        <v>13</v>
      </c>
      <c r="G864" t="s">
        <v>29</v>
      </c>
      <c r="H864">
        <v>1645.51</v>
      </c>
      <c r="I864">
        <v>2045.53</v>
      </c>
      <c r="J864" t="s">
        <v>17</v>
      </c>
      <c r="K864" s="5">
        <v>0.28000000000000003</v>
      </c>
      <c r="L864" t="s">
        <v>18</v>
      </c>
      <c r="M864" t="s">
        <v>22</v>
      </c>
      <c r="N864" t="s">
        <v>20</v>
      </c>
      <c r="O864" t="str">
        <f t="shared" si="39"/>
        <v>April</v>
      </c>
      <c r="P864">
        <f t="shared" si="40"/>
        <v>4</v>
      </c>
      <c r="Q864">
        <f t="shared" si="41"/>
        <v>2023</v>
      </c>
    </row>
    <row r="865" spans="1:17" x14ac:dyDescent="0.25">
      <c r="A865">
        <v>1098</v>
      </c>
      <c r="B865" s="1">
        <v>45270</v>
      </c>
      <c r="C865" t="s">
        <v>38</v>
      </c>
      <c r="D865" t="s">
        <v>34</v>
      </c>
      <c r="E865" s="4">
        <v>3419.26</v>
      </c>
      <c r="F865" s="2">
        <v>28</v>
      </c>
      <c r="G865" t="s">
        <v>35</v>
      </c>
      <c r="H865">
        <v>3895.62</v>
      </c>
      <c r="I865">
        <v>4055.44</v>
      </c>
      <c r="J865" t="s">
        <v>30</v>
      </c>
      <c r="K865" s="5">
        <v>0.03</v>
      </c>
      <c r="L865" t="s">
        <v>27</v>
      </c>
      <c r="M865" t="s">
        <v>22</v>
      </c>
      <c r="N865" t="s">
        <v>48</v>
      </c>
      <c r="O865" t="str">
        <f t="shared" si="39"/>
        <v>December</v>
      </c>
      <c r="P865">
        <f t="shared" si="40"/>
        <v>12</v>
      </c>
      <c r="Q865">
        <f t="shared" si="41"/>
        <v>2023</v>
      </c>
    </row>
    <row r="866" spans="1:17" x14ac:dyDescent="0.25">
      <c r="A866">
        <v>1038</v>
      </c>
      <c r="B866" s="1">
        <v>44998</v>
      </c>
      <c r="C866" t="s">
        <v>24</v>
      </c>
      <c r="D866" t="s">
        <v>15</v>
      </c>
      <c r="E866" s="4">
        <v>763.46</v>
      </c>
      <c r="F866" s="2">
        <v>9</v>
      </c>
      <c r="G866" t="s">
        <v>29</v>
      </c>
      <c r="H866">
        <v>400.42</v>
      </c>
      <c r="I866">
        <v>446.11</v>
      </c>
      <c r="J866" t="s">
        <v>30</v>
      </c>
      <c r="K866" s="5">
        <v>0.01</v>
      </c>
      <c r="L866" t="s">
        <v>27</v>
      </c>
      <c r="M866" t="s">
        <v>22</v>
      </c>
      <c r="N866" t="s">
        <v>45</v>
      </c>
      <c r="O866" t="str">
        <f t="shared" si="39"/>
        <v>March</v>
      </c>
      <c r="P866">
        <f t="shared" si="40"/>
        <v>3</v>
      </c>
      <c r="Q866">
        <f t="shared" si="41"/>
        <v>2023</v>
      </c>
    </row>
    <row r="867" spans="1:17" x14ac:dyDescent="0.25">
      <c r="A867">
        <v>1050</v>
      </c>
      <c r="B867" s="1">
        <v>44990</v>
      </c>
      <c r="C867" t="s">
        <v>14</v>
      </c>
      <c r="D867" t="s">
        <v>15</v>
      </c>
      <c r="E867" s="4">
        <v>9755.9</v>
      </c>
      <c r="F867" s="2">
        <v>20</v>
      </c>
      <c r="G867" t="s">
        <v>35</v>
      </c>
      <c r="H867">
        <v>3318.92</v>
      </c>
      <c r="I867">
        <v>3785.91</v>
      </c>
      <c r="J867" t="s">
        <v>30</v>
      </c>
      <c r="K867" s="5">
        <v>0.24</v>
      </c>
      <c r="L867" t="s">
        <v>27</v>
      </c>
      <c r="M867" t="s">
        <v>19</v>
      </c>
      <c r="N867" t="s">
        <v>20</v>
      </c>
      <c r="O867" t="str">
        <f t="shared" si="39"/>
        <v>March</v>
      </c>
      <c r="P867">
        <f t="shared" si="40"/>
        <v>3</v>
      </c>
      <c r="Q867">
        <f t="shared" si="41"/>
        <v>2023</v>
      </c>
    </row>
    <row r="868" spans="1:17" x14ac:dyDescent="0.25">
      <c r="A868">
        <v>1098</v>
      </c>
      <c r="B868" s="1">
        <v>45131</v>
      </c>
      <c r="C868" t="s">
        <v>42</v>
      </c>
      <c r="D868" t="s">
        <v>25</v>
      </c>
      <c r="E868" s="4">
        <v>8188.04</v>
      </c>
      <c r="F868" s="2">
        <v>19</v>
      </c>
      <c r="G868" t="s">
        <v>35</v>
      </c>
      <c r="H868">
        <v>4055.51</v>
      </c>
      <c r="I868">
        <v>4258.84</v>
      </c>
      <c r="J868" t="s">
        <v>17</v>
      </c>
      <c r="K868" s="5">
        <v>0.03</v>
      </c>
      <c r="L868" t="s">
        <v>31</v>
      </c>
      <c r="M868" t="s">
        <v>19</v>
      </c>
      <c r="N868" t="s">
        <v>43</v>
      </c>
      <c r="O868" t="str">
        <f t="shared" si="39"/>
        <v>July</v>
      </c>
      <c r="P868">
        <f t="shared" si="40"/>
        <v>7</v>
      </c>
      <c r="Q868">
        <f t="shared" si="41"/>
        <v>2023</v>
      </c>
    </row>
    <row r="869" spans="1:17" x14ac:dyDescent="0.25">
      <c r="A869">
        <v>1082</v>
      </c>
      <c r="B869" s="1">
        <v>45135</v>
      </c>
      <c r="C869" t="s">
        <v>42</v>
      </c>
      <c r="D869" t="s">
        <v>34</v>
      </c>
      <c r="E869" s="4">
        <v>8540.2199999999993</v>
      </c>
      <c r="F869" s="2">
        <v>48</v>
      </c>
      <c r="G869" t="s">
        <v>26</v>
      </c>
      <c r="H869">
        <v>3380.52</v>
      </c>
      <c r="I869">
        <v>3778.94</v>
      </c>
      <c r="J869" t="s">
        <v>17</v>
      </c>
      <c r="K869" s="5">
        <v>0.3</v>
      </c>
      <c r="L869" t="s">
        <v>27</v>
      </c>
      <c r="M869" t="s">
        <v>19</v>
      </c>
      <c r="N869" t="s">
        <v>52</v>
      </c>
      <c r="O869" t="str">
        <f t="shared" si="39"/>
        <v>July</v>
      </c>
      <c r="P869">
        <f t="shared" si="40"/>
        <v>7</v>
      </c>
      <c r="Q869">
        <f t="shared" si="41"/>
        <v>2023</v>
      </c>
    </row>
    <row r="870" spans="1:17" x14ac:dyDescent="0.25">
      <c r="A870">
        <v>1030</v>
      </c>
      <c r="B870" s="1">
        <v>44998</v>
      </c>
      <c r="C870" t="s">
        <v>42</v>
      </c>
      <c r="D870" t="s">
        <v>15</v>
      </c>
      <c r="E870" s="4">
        <v>9385.86</v>
      </c>
      <c r="F870" s="2">
        <v>39</v>
      </c>
      <c r="G870" t="s">
        <v>26</v>
      </c>
      <c r="H870">
        <v>2511.2800000000002</v>
      </c>
      <c r="I870">
        <v>2658.06</v>
      </c>
      <c r="J870" t="s">
        <v>30</v>
      </c>
      <c r="K870" s="5">
        <v>0.19</v>
      </c>
      <c r="L870" t="s">
        <v>31</v>
      </c>
      <c r="M870" t="s">
        <v>22</v>
      </c>
      <c r="N870" t="s">
        <v>49</v>
      </c>
      <c r="O870" t="str">
        <f t="shared" si="39"/>
        <v>March</v>
      </c>
      <c r="P870">
        <f t="shared" si="40"/>
        <v>3</v>
      </c>
      <c r="Q870">
        <f t="shared" si="41"/>
        <v>2023</v>
      </c>
    </row>
    <row r="871" spans="1:17" x14ac:dyDescent="0.25">
      <c r="A871">
        <v>1079</v>
      </c>
      <c r="B871" s="1">
        <v>45203</v>
      </c>
      <c r="C871" t="s">
        <v>38</v>
      </c>
      <c r="D871" t="s">
        <v>34</v>
      </c>
      <c r="E871" s="4">
        <v>942.52</v>
      </c>
      <c r="F871" s="2">
        <v>12</v>
      </c>
      <c r="G871" t="s">
        <v>26</v>
      </c>
      <c r="H871">
        <v>4754.0200000000004</v>
      </c>
      <c r="I871">
        <v>5080.74</v>
      </c>
      <c r="J871" t="s">
        <v>30</v>
      </c>
      <c r="K871" s="5">
        <v>0.2</v>
      </c>
      <c r="L871" t="s">
        <v>18</v>
      </c>
      <c r="M871" t="s">
        <v>19</v>
      </c>
      <c r="N871" t="s">
        <v>48</v>
      </c>
      <c r="O871" t="str">
        <f t="shared" si="39"/>
        <v>October</v>
      </c>
      <c r="P871">
        <f t="shared" si="40"/>
        <v>10</v>
      </c>
      <c r="Q871">
        <f t="shared" si="41"/>
        <v>2023</v>
      </c>
    </row>
    <row r="872" spans="1:17" x14ac:dyDescent="0.25">
      <c r="A872">
        <v>1091</v>
      </c>
      <c r="B872" s="1">
        <v>45200</v>
      </c>
      <c r="C872" t="s">
        <v>38</v>
      </c>
      <c r="D872" t="s">
        <v>34</v>
      </c>
      <c r="E872" s="4">
        <v>3917.42</v>
      </c>
      <c r="F872" s="2">
        <v>15</v>
      </c>
      <c r="G872" t="s">
        <v>35</v>
      </c>
      <c r="H872">
        <v>1534.7</v>
      </c>
      <c r="I872">
        <v>1972.62</v>
      </c>
      <c r="J872" t="s">
        <v>17</v>
      </c>
      <c r="K872" s="5">
        <v>0.06</v>
      </c>
      <c r="L872" t="s">
        <v>31</v>
      </c>
      <c r="M872" t="s">
        <v>22</v>
      </c>
      <c r="N872" t="s">
        <v>48</v>
      </c>
      <c r="O872" t="str">
        <f t="shared" si="39"/>
        <v>October</v>
      </c>
      <c r="P872">
        <f t="shared" si="40"/>
        <v>10</v>
      </c>
      <c r="Q872">
        <f t="shared" si="41"/>
        <v>2023</v>
      </c>
    </row>
    <row r="873" spans="1:17" x14ac:dyDescent="0.25">
      <c r="A873">
        <v>1051</v>
      </c>
      <c r="B873" s="1">
        <v>45246</v>
      </c>
      <c r="C873" t="s">
        <v>14</v>
      </c>
      <c r="D873" t="s">
        <v>21</v>
      </c>
      <c r="E873" s="4">
        <v>803.25</v>
      </c>
      <c r="F873" s="2">
        <v>31</v>
      </c>
      <c r="G873" t="s">
        <v>16</v>
      </c>
      <c r="H873">
        <v>144.88</v>
      </c>
      <c r="I873">
        <v>175.29</v>
      </c>
      <c r="J873" t="s">
        <v>30</v>
      </c>
      <c r="K873" s="5">
        <v>7.0000000000000007E-2</v>
      </c>
      <c r="L873" t="s">
        <v>27</v>
      </c>
      <c r="M873" t="s">
        <v>19</v>
      </c>
      <c r="N873" t="s">
        <v>23</v>
      </c>
      <c r="O873" t="str">
        <f t="shared" si="39"/>
        <v>November</v>
      </c>
      <c r="P873">
        <f t="shared" si="40"/>
        <v>11</v>
      </c>
      <c r="Q873">
        <f t="shared" si="41"/>
        <v>2023</v>
      </c>
    </row>
    <row r="874" spans="1:17" x14ac:dyDescent="0.25">
      <c r="A874">
        <v>1063</v>
      </c>
      <c r="B874" s="1">
        <v>45264</v>
      </c>
      <c r="C874" t="s">
        <v>24</v>
      </c>
      <c r="D874" t="s">
        <v>25</v>
      </c>
      <c r="E874" s="4">
        <v>2186.85</v>
      </c>
      <c r="F874" s="2">
        <v>14</v>
      </c>
      <c r="G874" t="s">
        <v>29</v>
      </c>
      <c r="H874">
        <v>2188.35</v>
      </c>
      <c r="I874">
        <v>2605.3599999999901</v>
      </c>
      <c r="J874" t="s">
        <v>17</v>
      </c>
      <c r="K874" s="5">
        <v>0.2</v>
      </c>
      <c r="L874" t="s">
        <v>31</v>
      </c>
      <c r="M874" t="s">
        <v>22</v>
      </c>
      <c r="N874" t="s">
        <v>28</v>
      </c>
      <c r="O874" t="str">
        <f t="shared" si="39"/>
        <v>December</v>
      </c>
      <c r="P874">
        <f t="shared" si="40"/>
        <v>12</v>
      </c>
      <c r="Q874">
        <f t="shared" si="41"/>
        <v>2023</v>
      </c>
    </row>
    <row r="875" spans="1:17" x14ac:dyDescent="0.25">
      <c r="A875">
        <v>1098</v>
      </c>
      <c r="B875" s="1">
        <v>45292</v>
      </c>
      <c r="C875" t="s">
        <v>14</v>
      </c>
      <c r="D875" t="s">
        <v>25</v>
      </c>
      <c r="E875" s="4">
        <v>2370.7199999999998</v>
      </c>
      <c r="F875" s="2">
        <v>11</v>
      </c>
      <c r="G875" t="s">
        <v>29</v>
      </c>
      <c r="H875">
        <v>213.41</v>
      </c>
      <c r="I875">
        <v>503.36</v>
      </c>
      <c r="J875" t="s">
        <v>17</v>
      </c>
      <c r="K875" s="5">
        <v>0.27</v>
      </c>
      <c r="L875" t="s">
        <v>27</v>
      </c>
      <c r="M875" t="s">
        <v>19</v>
      </c>
      <c r="N875" t="s">
        <v>32</v>
      </c>
      <c r="O875" t="str">
        <f t="shared" si="39"/>
        <v>January</v>
      </c>
      <c r="P875">
        <f t="shared" si="40"/>
        <v>1</v>
      </c>
      <c r="Q875">
        <f t="shared" si="41"/>
        <v>2024</v>
      </c>
    </row>
    <row r="876" spans="1:17" x14ac:dyDescent="0.25">
      <c r="A876">
        <v>1052</v>
      </c>
      <c r="B876" s="1">
        <v>45021</v>
      </c>
      <c r="C876" t="s">
        <v>33</v>
      </c>
      <c r="D876" t="s">
        <v>25</v>
      </c>
      <c r="E876" s="4">
        <v>4744.16</v>
      </c>
      <c r="F876" s="2">
        <v>26</v>
      </c>
      <c r="G876" t="s">
        <v>29</v>
      </c>
      <c r="H876">
        <v>4771.99</v>
      </c>
      <c r="I876">
        <v>5079.6499999999996</v>
      </c>
      <c r="J876" t="s">
        <v>30</v>
      </c>
      <c r="K876" s="5">
        <v>0.28999999999999998</v>
      </c>
      <c r="L876" t="s">
        <v>31</v>
      </c>
      <c r="M876" t="s">
        <v>19</v>
      </c>
      <c r="N876" t="s">
        <v>44</v>
      </c>
      <c r="O876" t="str">
        <f t="shared" si="39"/>
        <v>April</v>
      </c>
      <c r="P876">
        <f t="shared" si="40"/>
        <v>4</v>
      </c>
      <c r="Q876">
        <f t="shared" si="41"/>
        <v>2023</v>
      </c>
    </row>
    <row r="877" spans="1:17" x14ac:dyDescent="0.25">
      <c r="A877">
        <v>1038</v>
      </c>
      <c r="B877" s="1">
        <v>45092</v>
      </c>
      <c r="C877" t="s">
        <v>42</v>
      </c>
      <c r="D877" t="s">
        <v>21</v>
      </c>
      <c r="E877" s="4">
        <v>2758.77</v>
      </c>
      <c r="F877" s="2">
        <v>42</v>
      </c>
      <c r="G877" t="s">
        <v>26</v>
      </c>
      <c r="H877">
        <v>1089.0899999999999</v>
      </c>
      <c r="I877">
        <v>1355.44</v>
      </c>
      <c r="J877" t="s">
        <v>30</v>
      </c>
      <c r="K877" s="5">
        <v>0.06</v>
      </c>
      <c r="L877" t="s">
        <v>18</v>
      </c>
      <c r="M877" t="s">
        <v>22</v>
      </c>
      <c r="N877" t="s">
        <v>51</v>
      </c>
      <c r="O877" t="str">
        <f t="shared" si="39"/>
        <v>June</v>
      </c>
      <c r="P877">
        <f t="shared" si="40"/>
        <v>6</v>
      </c>
      <c r="Q877">
        <f t="shared" si="41"/>
        <v>2023</v>
      </c>
    </row>
    <row r="878" spans="1:17" x14ac:dyDescent="0.25">
      <c r="A878">
        <v>1097</v>
      </c>
      <c r="B878" s="1">
        <v>44958</v>
      </c>
      <c r="C878" t="s">
        <v>42</v>
      </c>
      <c r="D878" t="s">
        <v>21</v>
      </c>
      <c r="E878" s="4">
        <v>1099.68</v>
      </c>
      <c r="F878" s="2">
        <v>27</v>
      </c>
      <c r="G878" t="s">
        <v>35</v>
      </c>
      <c r="H878">
        <v>3955.19</v>
      </c>
      <c r="I878">
        <v>4393.68</v>
      </c>
      <c r="J878" t="s">
        <v>17</v>
      </c>
      <c r="K878" s="5">
        <v>0.04</v>
      </c>
      <c r="L878" t="s">
        <v>31</v>
      </c>
      <c r="M878" t="s">
        <v>19</v>
      </c>
      <c r="N878" t="s">
        <v>51</v>
      </c>
      <c r="O878" t="str">
        <f t="shared" si="39"/>
        <v>February</v>
      </c>
      <c r="P878">
        <f t="shared" si="40"/>
        <v>2</v>
      </c>
      <c r="Q878">
        <f t="shared" si="41"/>
        <v>2023</v>
      </c>
    </row>
    <row r="879" spans="1:17" x14ac:dyDescent="0.25">
      <c r="A879">
        <v>1088</v>
      </c>
      <c r="B879" s="1">
        <v>44937</v>
      </c>
      <c r="C879" t="s">
        <v>42</v>
      </c>
      <c r="D879" t="s">
        <v>25</v>
      </c>
      <c r="E879" s="4">
        <v>1758.16</v>
      </c>
      <c r="F879" s="2">
        <v>11</v>
      </c>
      <c r="G879" t="s">
        <v>26</v>
      </c>
      <c r="H879">
        <v>3884.13</v>
      </c>
      <c r="I879">
        <v>3915.41</v>
      </c>
      <c r="J879" t="s">
        <v>17</v>
      </c>
      <c r="K879" s="5">
        <v>0.02</v>
      </c>
      <c r="L879" t="s">
        <v>18</v>
      </c>
      <c r="M879" t="s">
        <v>19</v>
      </c>
      <c r="N879" t="s">
        <v>43</v>
      </c>
      <c r="O879" t="str">
        <f t="shared" si="39"/>
        <v>January</v>
      </c>
      <c r="P879">
        <f t="shared" si="40"/>
        <v>1</v>
      </c>
      <c r="Q879">
        <f t="shared" si="41"/>
        <v>2023</v>
      </c>
    </row>
    <row r="880" spans="1:17" x14ac:dyDescent="0.25">
      <c r="A880">
        <v>1079</v>
      </c>
      <c r="B880" s="1">
        <v>45227</v>
      </c>
      <c r="C880" t="s">
        <v>14</v>
      </c>
      <c r="D880" t="s">
        <v>21</v>
      </c>
      <c r="E880" s="4">
        <v>1558.03</v>
      </c>
      <c r="F880" s="2">
        <v>38</v>
      </c>
      <c r="G880" t="s">
        <v>16</v>
      </c>
      <c r="H880">
        <v>1127.76</v>
      </c>
      <c r="I880">
        <v>1265.6600000000001</v>
      </c>
      <c r="J880" t="s">
        <v>17</v>
      </c>
      <c r="K880" s="5">
        <v>0.26</v>
      </c>
      <c r="L880" t="s">
        <v>27</v>
      </c>
      <c r="M880" t="s">
        <v>22</v>
      </c>
      <c r="N880" t="s">
        <v>23</v>
      </c>
      <c r="O880" t="str">
        <f t="shared" si="39"/>
        <v>October</v>
      </c>
      <c r="P880">
        <f t="shared" si="40"/>
        <v>10</v>
      </c>
      <c r="Q880">
        <f t="shared" si="41"/>
        <v>2023</v>
      </c>
    </row>
    <row r="881" spans="1:17" x14ac:dyDescent="0.25">
      <c r="A881">
        <v>1030</v>
      </c>
      <c r="B881" s="1">
        <v>45143</v>
      </c>
      <c r="C881" t="s">
        <v>14</v>
      </c>
      <c r="D881" t="s">
        <v>21</v>
      </c>
      <c r="E881" s="4">
        <v>9733.4599999999991</v>
      </c>
      <c r="F881" s="2">
        <v>34</v>
      </c>
      <c r="G881" t="s">
        <v>35</v>
      </c>
      <c r="H881">
        <v>3125.07</v>
      </c>
      <c r="I881">
        <v>3564.19</v>
      </c>
      <c r="J881" t="s">
        <v>17</v>
      </c>
      <c r="K881" s="5">
        <v>0.09</v>
      </c>
      <c r="L881" t="s">
        <v>18</v>
      </c>
      <c r="M881" t="s">
        <v>19</v>
      </c>
      <c r="N881" t="s">
        <v>23</v>
      </c>
      <c r="O881" t="str">
        <f t="shared" si="39"/>
        <v>August</v>
      </c>
      <c r="P881">
        <f t="shared" si="40"/>
        <v>8</v>
      </c>
      <c r="Q881">
        <f t="shared" si="41"/>
        <v>2023</v>
      </c>
    </row>
    <row r="882" spans="1:17" x14ac:dyDescent="0.25">
      <c r="A882">
        <v>1051</v>
      </c>
      <c r="B882" s="1">
        <v>45215</v>
      </c>
      <c r="C882" t="s">
        <v>42</v>
      </c>
      <c r="D882" t="s">
        <v>21</v>
      </c>
      <c r="E882" s="4">
        <v>7617</v>
      </c>
      <c r="F882" s="2">
        <v>43</v>
      </c>
      <c r="G882" t="s">
        <v>29</v>
      </c>
      <c r="H882">
        <v>287.99</v>
      </c>
      <c r="I882">
        <v>666.64</v>
      </c>
      <c r="J882" t="s">
        <v>17</v>
      </c>
      <c r="K882" s="5">
        <v>0</v>
      </c>
      <c r="L882" t="s">
        <v>27</v>
      </c>
      <c r="M882" t="s">
        <v>19</v>
      </c>
      <c r="N882" t="s">
        <v>51</v>
      </c>
      <c r="O882" t="str">
        <f t="shared" si="39"/>
        <v>October</v>
      </c>
      <c r="P882">
        <f t="shared" si="40"/>
        <v>10</v>
      </c>
      <c r="Q882">
        <f t="shared" si="41"/>
        <v>2023</v>
      </c>
    </row>
    <row r="883" spans="1:17" x14ac:dyDescent="0.25">
      <c r="A883">
        <v>1081</v>
      </c>
      <c r="B883" s="1">
        <v>45028</v>
      </c>
      <c r="C883" t="s">
        <v>14</v>
      </c>
      <c r="D883" t="s">
        <v>25</v>
      </c>
      <c r="E883" s="4">
        <v>9680.84</v>
      </c>
      <c r="F883" s="2">
        <v>19</v>
      </c>
      <c r="G883" t="s">
        <v>26</v>
      </c>
      <c r="H883">
        <v>2443.69</v>
      </c>
      <c r="I883">
        <v>2462.34</v>
      </c>
      <c r="J883" t="s">
        <v>30</v>
      </c>
      <c r="K883" s="5">
        <v>7.0000000000000007E-2</v>
      </c>
      <c r="L883" t="s">
        <v>27</v>
      </c>
      <c r="M883" t="s">
        <v>22</v>
      </c>
      <c r="N883" t="s">
        <v>32</v>
      </c>
      <c r="O883" t="str">
        <f t="shared" si="39"/>
        <v>April</v>
      </c>
      <c r="P883">
        <f t="shared" si="40"/>
        <v>4</v>
      </c>
      <c r="Q883">
        <f t="shared" si="41"/>
        <v>2023</v>
      </c>
    </row>
    <row r="884" spans="1:17" x14ac:dyDescent="0.25">
      <c r="A884">
        <v>1005</v>
      </c>
      <c r="B884" s="1">
        <v>45193</v>
      </c>
      <c r="C884" t="s">
        <v>38</v>
      </c>
      <c r="D884" t="s">
        <v>25</v>
      </c>
      <c r="E884" s="4">
        <v>4453.43</v>
      </c>
      <c r="F884" s="2">
        <v>6</v>
      </c>
      <c r="G884" t="s">
        <v>26</v>
      </c>
      <c r="H884">
        <v>122.5</v>
      </c>
      <c r="I884">
        <v>385.83</v>
      </c>
      <c r="J884" t="s">
        <v>17</v>
      </c>
      <c r="K884" s="5">
        <v>0.1</v>
      </c>
      <c r="L884" t="s">
        <v>18</v>
      </c>
      <c r="M884" t="s">
        <v>22</v>
      </c>
      <c r="N884" t="s">
        <v>39</v>
      </c>
      <c r="O884" t="str">
        <f t="shared" si="39"/>
        <v>September</v>
      </c>
      <c r="P884">
        <f t="shared" si="40"/>
        <v>9</v>
      </c>
      <c r="Q884">
        <f t="shared" si="41"/>
        <v>2023</v>
      </c>
    </row>
    <row r="885" spans="1:17" x14ac:dyDescent="0.25">
      <c r="A885">
        <v>1029</v>
      </c>
      <c r="B885" s="1">
        <v>45140</v>
      </c>
      <c r="C885" t="s">
        <v>38</v>
      </c>
      <c r="D885" t="s">
        <v>25</v>
      </c>
      <c r="E885" s="4">
        <v>2855.85</v>
      </c>
      <c r="F885" s="2">
        <v>46</v>
      </c>
      <c r="G885" t="s">
        <v>16</v>
      </c>
      <c r="H885">
        <v>4609.66</v>
      </c>
      <c r="I885">
        <v>4879.1499999999996</v>
      </c>
      <c r="J885" t="s">
        <v>17</v>
      </c>
      <c r="K885" s="5">
        <v>0.3</v>
      </c>
      <c r="L885" t="s">
        <v>18</v>
      </c>
      <c r="M885" t="s">
        <v>22</v>
      </c>
      <c r="N885" t="s">
        <v>39</v>
      </c>
      <c r="O885" t="str">
        <f t="shared" si="39"/>
        <v>August</v>
      </c>
      <c r="P885">
        <f t="shared" si="40"/>
        <v>8</v>
      </c>
      <c r="Q885">
        <f t="shared" si="41"/>
        <v>2023</v>
      </c>
    </row>
    <row r="886" spans="1:17" x14ac:dyDescent="0.25">
      <c r="A886">
        <v>1004</v>
      </c>
      <c r="B886" s="1">
        <v>45105</v>
      </c>
      <c r="C886" t="s">
        <v>14</v>
      </c>
      <c r="D886" t="s">
        <v>21</v>
      </c>
      <c r="E886" s="4">
        <v>8003.1</v>
      </c>
      <c r="F886" s="2">
        <v>38</v>
      </c>
      <c r="G886" t="s">
        <v>16</v>
      </c>
      <c r="H886">
        <v>4881.63</v>
      </c>
      <c r="I886">
        <v>5088.0600000000004</v>
      </c>
      <c r="J886" t="s">
        <v>17</v>
      </c>
      <c r="K886" s="5">
        <v>0.16</v>
      </c>
      <c r="L886" t="s">
        <v>31</v>
      </c>
      <c r="M886" t="s">
        <v>22</v>
      </c>
      <c r="N886" t="s">
        <v>23</v>
      </c>
      <c r="O886" t="str">
        <f t="shared" si="39"/>
        <v>June</v>
      </c>
      <c r="P886">
        <f t="shared" si="40"/>
        <v>6</v>
      </c>
      <c r="Q886">
        <f t="shared" si="41"/>
        <v>2023</v>
      </c>
    </row>
    <row r="887" spans="1:17" x14ac:dyDescent="0.25">
      <c r="A887">
        <v>1010</v>
      </c>
      <c r="B887" s="1">
        <v>45014</v>
      </c>
      <c r="C887" t="s">
        <v>42</v>
      </c>
      <c r="D887" t="s">
        <v>25</v>
      </c>
      <c r="E887" s="4">
        <v>3329.91</v>
      </c>
      <c r="F887" s="2">
        <v>49</v>
      </c>
      <c r="G887" t="s">
        <v>26</v>
      </c>
      <c r="H887">
        <v>1150.3</v>
      </c>
      <c r="I887">
        <v>1306.02</v>
      </c>
      <c r="J887" t="s">
        <v>30</v>
      </c>
      <c r="K887" s="5">
        <v>0.06</v>
      </c>
      <c r="L887" t="s">
        <v>31</v>
      </c>
      <c r="M887" t="s">
        <v>22</v>
      </c>
      <c r="N887" t="s">
        <v>43</v>
      </c>
      <c r="O887" t="str">
        <f t="shared" si="39"/>
        <v>March</v>
      </c>
      <c r="P887">
        <f t="shared" si="40"/>
        <v>3</v>
      </c>
      <c r="Q887">
        <f t="shared" si="41"/>
        <v>2023</v>
      </c>
    </row>
    <row r="888" spans="1:17" x14ac:dyDescent="0.25">
      <c r="A888">
        <v>1056</v>
      </c>
      <c r="B888" s="1">
        <v>44967</v>
      </c>
      <c r="C888" t="s">
        <v>14</v>
      </c>
      <c r="D888" t="s">
        <v>21</v>
      </c>
      <c r="E888" s="4">
        <v>3063.9</v>
      </c>
      <c r="F888" s="2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 s="5">
        <v>0.1</v>
      </c>
      <c r="L888" t="s">
        <v>18</v>
      </c>
      <c r="M888" t="s">
        <v>19</v>
      </c>
      <c r="N888" t="s">
        <v>23</v>
      </c>
      <c r="O888" t="str">
        <f t="shared" si="39"/>
        <v>February</v>
      </c>
      <c r="P888">
        <f t="shared" si="40"/>
        <v>2</v>
      </c>
      <c r="Q888">
        <f t="shared" si="41"/>
        <v>2023</v>
      </c>
    </row>
    <row r="889" spans="1:17" x14ac:dyDescent="0.25">
      <c r="A889">
        <v>1017</v>
      </c>
      <c r="B889" s="1">
        <v>45002</v>
      </c>
      <c r="C889" t="s">
        <v>14</v>
      </c>
      <c r="D889" t="s">
        <v>15</v>
      </c>
      <c r="E889" s="4">
        <v>2401.81</v>
      </c>
      <c r="F889" s="2">
        <v>28</v>
      </c>
      <c r="G889" t="s">
        <v>29</v>
      </c>
      <c r="H889">
        <v>3780.91</v>
      </c>
      <c r="I889">
        <v>3892.73</v>
      </c>
      <c r="J889" t="s">
        <v>17</v>
      </c>
      <c r="K889" s="5">
        <v>0.1</v>
      </c>
      <c r="L889" t="s">
        <v>18</v>
      </c>
      <c r="M889" t="s">
        <v>22</v>
      </c>
      <c r="N889" t="s">
        <v>20</v>
      </c>
      <c r="O889" t="str">
        <f t="shared" si="39"/>
        <v>March</v>
      </c>
      <c r="P889">
        <f t="shared" si="40"/>
        <v>3</v>
      </c>
      <c r="Q889">
        <f t="shared" si="41"/>
        <v>2023</v>
      </c>
    </row>
    <row r="890" spans="1:17" x14ac:dyDescent="0.25">
      <c r="A890">
        <v>1074</v>
      </c>
      <c r="B890" s="1">
        <v>44972</v>
      </c>
      <c r="C890" t="s">
        <v>14</v>
      </c>
      <c r="D890" t="s">
        <v>21</v>
      </c>
      <c r="E890" s="4">
        <v>1383.82</v>
      </c>
      <c r="F890" s="2">
        <v>1</v>
      </c>
      <c r="G890" t="s">
        <v>16</v>
      </c>
      <c r="H890">
        <v>1304.23</v>
      </c>
      <c r="I890">
        <v>1705.71</v>
      </c>
      <c r="J890" t="s">
        <v>17</v>
      </c>
      <c r="K890" s="5">
        <v>0.01</v>
      </c>
      <c r="L890" t="s">
        <v>18</v>
      </c>
      <c r="M890" t="s">
        <v>22</v>
      </c>
      <c r="N890" t="s">
        <v>23</v>
      </c>
      <c r="O890" t="str">
        <f t="shared" si="39"/>
        <v>February</v>
      </c>
      <c r="P890">
        <f t="shared" si="40"/>
        <v>2</v>
      </c>
      <c r="Q890">
        <f t="shared" si="41"/>
        <v>2023</v>
      </c>
    </row>
    <row r="891" spans="1:17" x14ac:dyDescent="0.25">
      <c r="A891">
        <v>1017</v>
      </c>
      <c r="B891" s="1">
        <v>45086</v>
      </c>
      <c r="C891" t="s">
        <v>33</v>
      </c>
      <c r="D891" t="s">
        <v>34</v>
      </c>
      <c r="E891" s="4">
        <v>2638.98</v>
      </c>
      <c r="F891" s="2">
        <v>35</v>
      </c>
      <c r="G891" t="s">
        <v>16</v>
      </c>
      <c r="H891">
        <v>4480.63</v>
      </c>
      <c r="I891">
        <v>4884.12</v>
      </c>
      <c r="J891" t="s">
        <v>30</v>
      </c>
      <c r="K891" s="5">
        <v>0.04</v>
      </c>
      <c r="L891" t="s">
        <v>18</v>
      </c>
      <c r="M891" t="s">
        <v>19</v>
      </c>
      <c r="N891" t="s">
        <v>36</v>
      </c>
      <c r="O891" t="str">
        <f t="shared" si="39"/>
        <v>June</v>
      </c>
      <c r="P891">
        <f t="shared" si="40"/>
        <v>6</v>
      </c>
      <c r="Q891">
        <f t="shared" si="41"/>
        <v>2023</v>
      </c>
    </row>
    <row r="892" spans="1:17" x14ac:dyDescent="0.25">
      <c r="A892">
        <v>1084</v>
      </c>
      <c r="B892" s="1">
        <v>45006</v>
      </c>
      <c r="C892" t="s">
        <v>38</v>
      </c>
      <c r="D892" t="s">
        <v>25</v>
      </c>
      <c r="E892" s="4">
        <v>3617.67</v>
      </c>
      <c r="F892" s="2">
        <v>40</v>
      </c>
      <c r="G892" t="s">
        <v>26</v>
      </c>
      <c r="H892">
        <v>2890.95</v>
      </c>
      <c r="I892">
        <v>3104.43</v>
      </c>
      <c r="J892" t="s">
        <v>30</v>
      </c>
      <c r="K892" s="5">
        <v>0.21</v>
      </c>
      <c r="L892" t="s">
        <v>27</v>
      </c>
      <c r="M892" t="s">
        <v>19</v>
      </c>
      <c r="N892" t="s">
        <v>39</v>
      </c>
      <c r="O892" t="str">
        <f t="shared" si="39"/>
        <v>March</v>
      </c>
      <c r="P892">
        <f t="shared" si="40"/>
        <v>3</v>
      </c>
      <c r="Q892">
        <f t="shared" si="41"/>
        <v>2023</v>
      </c>
    </row>
    <row r="893" spans="1:17" x14ac:dyDescent="0.25">
      <c r="A893">
        <v>1088</v>
      </c>
      <c r="B893" s="1">
        <v>45236</v>
      </c>
      <c r="C893" t="s">
        <v>24</v>
      </c>
      <c r="D893" t="s">
        <v>25</v>
      </c>
      <c r="E893" s="4">
        <v>6772.54</v>
      </c>
      <c r="F893" s="2">
        <v>8</v>
      </c>
      <c r="G893" t="s">
        <v>26</v>
      </c>
      <c r="H893">
        <v>1786.35</v>
      </c>
      <c r="I893">
        <v>1935.29</v>
      </c>
      <c r="J893" t="s">
        <v>30</v>
      </c>
      <c r="K893" s="5">
        <v>0.04</v>
      </c>
      <c r="L893" t="s">
        <v>18</v>
      </c>
      <c r="M893" t="s">
        <v>19</v>
      </c>
      <c r="N893" t="s">
        <v>28</v>
      </c>
      <c r="O893" t="str">
        <f t="shared" si="39"/>
        <v>November</v>
      </c>
      <c r="P893">
        <f t="shared" si="40"/>
        <v>11</v>
      </c>
      <c r="Q893">
        <f t="shared" si="41"/>
        <v>2023</v>
      </c>
    </row>
    <row r="894" spans="1:17" x14ac:dyDescent="0.25">
      <c r="A894">
        <v>1069</v>
      </c>
      <c r="B894" s="1">
        <v>45012</v>
      </c>
      <c r="C894" t="s">
        <v>24</v>
      </c>
      <c r="D894" t="s">
        <v>34</v>
      </c>
      <c r="E894" s="4">
        <v>719.39</v>
      </c>
      <c r="F894" s="2">
        <v>47</v>
      </c>
      <c r="G894" t="s">
        <v>35</v>
      </c>
      <c r="H894">
        <v>4171.83</v>
      </c>
      <c r="I894">
        <v>4320.93</v>
      </c>
      <c r="J894" t="s">
        <v>30</v>
      </c>
      <c r="K894" s="5">
        <v>7.0000000000000007E-2</v>
      </c>
      <c r="L894" t="s">
        <v>18</v>
      </c>
      <c r="M894" t="s">
        <v>19</v>
      </c>
      <c r="N894" t="s">
        <v>50</v>
      </c>
      <c r="O894" t="str">
        <f t="shared" si="39"/>
        <v>March</v>
      </c>
      <c r="P894">
        <f t="shared" si="40"/>
        <v>3</v>
      </c>
      <c r="Q894">
        <f t="shared" si="41"/>
        <v>2023</v>
      </c>
    </row>
    <row r="895" spans="1:17" x14ac:dyDescent="0.25">
      <c r="A895">
        <v>1034</v>
      </c>
      <c r="B895" s="1">
        <v>45018</v>
      </c>
      <c r="C895" t="s">
        <v>33</v>
      </c>
      <c r="D895" t="s">
        <v>21</v>
      </c>
      <c r="E895" s="4">
        <v>2184.02</v>
      </c>
      <c r="F895" s="2">
        <v>7</v>
      </c>
      <c r="G895" t="s">
        <v>35</v>
      </c>
      <c r="H895">
        <v>2492.36</v>
      </c>
      <c r="I895">
        <v>2738.68</v>
      </c>
      <c r="J895" t="s">
        <v>17</v>
      </c>
      <c r="K895" s="5">
        <v>0.11</v>
      </c>
      <c r="L895" t="s">
        <v>18</v>
      </c>
      <c r="M895" t="s">
        <v>19</v>
      </c>
      <c r="N895" t="s">
        <v>37</v>
      </c>
      <c r="O895" t="str">
        <f t="shared" si="39"/>
        <v>April</v>
      </c>
      <c r="P895">
        <f t="shared" si="40"/>
        <v>4</v>
      </c>
      <c r="Q895">
        <f t="shared" si="41"/>
        <v>2023</v>
      </c>
    </row>
    <row r="896" spans="1:17" x14ac:dyDescent="0.25">
      <c r="A896">
        <v>1006</v>
      </c>
      <c r="B896" s="1">
        <v>45074</v>
      </c>
      <c r="C896" t="s">
        <v>14</v>
      </c>
      <c r="D896" t="s">
        <v>15</v>
      </c>
      <c r="E896" s="4">
        <v>8109.33</v>
      </c>
      <c r="F896" s="2">
        <v>11</v>
      </c>
      <c r="G896" t="s">
        <v>26</v>
      </c>
      <c r="H896">
        <v>4562.58</v>
      </c>
      <c r="I896">
        <v>4925.17</v>
      </c>
      <c r="J896" t="s">
        <v>30</v>
      </c>
      <c r="K896" s="5">
        <v>0.23</v>
      </c>
      <c r="L896" t="s">
        <v>18</v>
      </c>
      <c r="M896" t="s">
        <v>22</v>
      </c>
      <c r="N896" t="s">
        <v>20</v>
      </c>
      <c r="O896" t="str">
        <f t="shared" si="39"/>
        <v>May</v>
      </c>
      <c r="P896">
        <f t="shared" si="40"/>
        <v>5</v>
      </c>
      <c r="Q896">
        <f t="shared" si="41"/>
        <v>2023</v>
      </c>
    </row>
    <row r="897" spans="1:17" x14ac:dyDescent="0.25">
      <c r="A897">
        <v>1053</v>
      </c>
      <c r="B897" s="1">
        <v>45087</v>
      </c>
      <c r="C897" t="s">
        <v>33</v>
      </c>
      <c r="D897" t="s">
        <v>34</v>
      </c>
      <c r="E897" s="4">
        <v>1554.53</v>
      </c>
      <c r="F897" s="2">
        <v>39</v>
      </c>
      <c r="G897" t="s">
        <v>16</v>
      </c>
      <c r="H897">
        <v>4643.67</v>
      </c>
      <c r="I897">
        <v>4829.5200000000004</v>
      </c>
      <c r="J897" t="s">
        <v>17</v>
      </c>
      <c r="K897" s="5">
        <v>0.17</v>
      </c>
      <c r="L897" t="s">
        <v>27</v>
      </c>
      <c r="M897" t="s">
        <v>19</v>
      </c>
      <c r="N897" t="s">
        <v>36</v>
      </c>
      <c r="O897" t="str">
        <f t="shared" si="39"/>
        <v>June</v>
      </c>
      <c r="P897">
        <f t="shared" si="40"/>
        <v>6</v>
      </c>
      <c r="Q897">
        <f t="shared" si="41"/>
        <v>2023</v>
      </c>
    </row>
    <row r="898" spans="1:17" x14ac:dyDescent="0.25">
      <c r="A898">
        <v>1066</v>
      </c>
      <c r="B898" s="1">
        <v>45128</v>
      </c>
      <c r="C898" t="s">
        <v>33</v>
      </c>
      <c r="D898" t="s">
        <v>34</v>
      </c>
      <c r="E898" s="4">
        <v>3492.19</v>
      </c>
      <c r="F898" s="2">
        <v>4</v>
      </c>
      <c r="G898" t="s">
        <v>16</v>
      </c>
      <c r="H898">
        <v>868.83</v>
      </c>
      <c r="I898">
        <v>1177.75</v>
      </c>
      <c r="J898" t="s">
        <v>17</v>
      </c>
      <c r="K898" s="5">
        <v>0.21</v>
      </c>
      <c r="L898" t="s">
        <v>31</v>
      </c>
      <c r="M898" t="s">
        <v>22</v>
      </c>
      <c r="N898" t="s">
        <v>36</v>
      </c>
      <c r="O898" t="str">
        <f t="shared" ref="O898:O961" si="42">TEXT(B898,"mmmm")</f>
        <v>July</v>
      </c>
      <c r="P898">
        <f t="shared" ref="P898:P961" si="43">MONTH(B898)</f>
        <v>7</v>
      </c>
      <c r="Q898">
        <f t="shared" ref="Q898:Q961" si="44">YEAR(B898)</f>
        <v>2023</v>
      </c>
    </row>
    <row r="899" spans="1:17" x14ac:dyDescent="0.25">
      <c r="A899">
        <v>1077</v>
      </c>
      <c r="B899" s="1">
        <v>45168</v>
      </c>
      <c r="C899" t="s">
        <v>42</v>
      </c>
      <c r="D899" t="s">
        <v>21</v>
      </c>
      <c r="E899" s="4">
        <v>8660.1200000000008</v>
      </c>
      <c r="F899" s="2">
        <v>25</v>
      </c>
      <c r="G899" t="s">
        <v>35</v>
      </c>
      <c r="H899">
        <v>61.5</v>
      </c>
      <c r="I899">
        <v>258.91999999999899</v>
      </c>
      <c r="J899" t="s">
        <v>30</v>
      </c>
      <c r="K899" s="5">
        <v>0.17</v>
      </c>
      <c r="L899" t="s">
        <v>31</v>
      </c>
      <c r="M899" t="s">
        <v>19</v>
      </c>
      <c r="N899" t="s">
        <v>51</v>
      </c>
      <c r="O899" t="str">
        <f t="shared" si="42"/>
        <v>August</v>
      </c>
      <c r="P899">
        <f t="shared" si="43"/>
        <v>8</v>
      </c>
      <c r="Q899">
        <f t="shared" si="44"/>
        <v>2023</v>
      </c>
    </row>
    <row r="900" spans="1:17" x14ac:dyDescent="0.25">
      <c r="A900">
        <v>1043</v>
      </c>
      <c r="B900" s="1">
        <v>45279</v>
      </c>
      <c r="C900" t="s">
        <v>38</v>
      </c>
      <c r="D900" t="s">
        <v>25</v>
      </c>
      <c r="E900" s="4">
        <v>1633.76</v>
      </c>
      <c r="F900" s="2">
        <v>12</v>
      </c>
      <c r="G900" t="s">
        <v>35</v>
      </c>
      <c r="H900">
        <v>4920.46</v>
      </c>
      <c r="I900">
        <v>5079.68</v>
      </c>
      <c r="J900" t="s">
        <v>30</v>
      </c>
      <c r="K900" s="5">
        <v>0.21</v>
      </c>
      <c r="L900" t="s">
        <v>31</v>
      </c>
      <c r="M900" t="s">
        <v>22</v>
      </c>
      <c r="N900" t="s">
        <v>39</v>
      </c>
      <c r="O900" t="str">
        <f t="shared" si="42"/>
        <v>December</v>
      </c>
      <c r="P900">
        <f t="shared" si="43"/>
        <v>12</v>
      </c>
      <c r="Q900">
        <f t="shared" si="44"/>
        <v>2023</v>
      </c>
    </row>
    <row r="901" spans="1:17" x14ac:dyDescent="0.25">
      <c r="A901">
        <v>1075</v>
      </c>
      <c r="B901" s="1">
        <v>44928</v>
      </c>
      <c r="C901" t="s">
        <v>24</v>
      </c>
      <c r="D901" t="s">
        <v>21</v>
      </c>
      <c r="E901" s="4">
        <v>919.09</v>
      </c>
      <c r="F901" s="2">
        <v>26</v>
      </c>
      <c r="G901" t="s">
        <v>35</v>
      </c>
      <c r="H901">
        <v>4535.38</v>
      </c>
      <c r="I901">
        <v>4557.5600000000004</v>
      </c>
      <c r="J901" t="s">
        <v>30</v>
      </c>
      <c r="K901" s="5">
        <v>0</v>
      </c>
      <c r="L901" t="s">
        <v>31</v>
      </c>
      <c r="M901" t="s">
        <v>19</v>
      </c>
      <c r="N901" t="s">
        <v>47</v>
      </c>
      <c r="O901" t="str">
        <f t="shared" si="42"/>
        <v>January</v>
      </c>
      <c r="P901">
        <f t="shared" si="43"/>
        <v>1</v>
      </c>
      <c r="Q901">
        <f t="shared" si="44"/>
        <v>2023</v>
      </c>
    </row>
    <row r="902" spans="1:17" x14ac:dyDescent="0.25">
      <c r="A902">
        <v>1023</v>
      </c>
      <c r="B902" s="1">
        <v>45151</v>
      </c>
      <c r="C902" t="s">
        <v>14</v>
      </c>
      <c r="D902" t="s">
        <v>34</v>
      </c>
      <c r="E902" s="4">
        <v>4896.93</v>
      </c>
      <c r="F902" s="2">
        <v>38</v>
      </c>
      <c r="G902" t="s">
        <v>29</v>
      </c>
      <c r="H902">
        <v>324.45</v>
      </c>
      <c r="I902">
        <v>336.37</v>
      </c>
      <c r="J902" t="s">
        <v>30</v>
      </c>
      <c r="K902" s="5">
        <v>0.28000000000000003</v>
      </c>
      <c r="L902" t="s">
        <v>31</v>
      </c>
      <c r="M902" t="s">
        <v>22</v>
      </c>
      <c r="N902" t="s">
        <v>46</v>
      </c>
      <c r="O902" t="str">
        <f t="shared" si="42"/>
        <v>August</v>
      </c>
      <c r="P902">
        <f t="shared" si="43"/>
        <v>8</v>
      </c>
      <c r="Q902">
        <f t="shared" si="44"/>
        <v>2023</v>
      </c>
    </row>
    <row r="903" spans="1:17" x14ac:dyDescent="0.25">
      <c r="A903">
        <v>1055</v>
      </c>
      <c r="B903" s="1">
        <v>45215</v>
      </c>
      <c r="C903" t="s">
        <v>24</v>
      </c>
      <c r="D903" t="s">
        <v>34</v>
      </c>
      <c r="E903" s="4">
        <v>3093.95</v>
      </c>
      <c r="F903" s="2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 s="5">
        <v>0.03</v>
      </c>
      <c r="L903" t="s">
        <v>27</v>
      </c>
      <c r="M903" t="s">
        <v>22</v>
      </c>
      <c r="N903" t="s">
        <v>50</v>
      </c>
      <c r="O903" t="str">
        <f t="shared" si="42"/>
        <v>October</v>
      </c>
      <c r="P903">
        <f t="shared" si="43"/>
        <v>10</v>
      </c>
      <c r="Q903">
        <f t="shared" si="44"/>
        <v>2023</v>
      </c>
    </row>
    <row r="904" spans="1:17" x14ac:dyDescent="0.25">
      <c r="A904">
        <v>1080</v>
      </c>
      <c r="B904" s="1">
        <v>45159</v>
      </c>
      <c r="C904" t="s">
        <v>24</v>
      </c>
      <c r="D904" t="s">
        <v>25</v>
      </c>
      <c r="E904" s="4">
        <v>5677.74</v>
      </c>
      <c r="F904" s="2">
        <v>12</v>
      </c>
      <c r="G904" t="s">
        <v>35</v>
      </c>
      <c r="H904">
        <v>2316.13</v>
      </c>
      <c r="I904">
        <v>2525.27</v>
      </c>
      <c r="J904" t="s">
        <v>17</v>
      </c>
      <c r="K904" s="5">
        <v>0.12</v>
      </c>
      <c r="L904" t="s">
        <v>31</v>
      </c>
      <c r="M904" t="s">
        <v>22</v>
      </c>
      <c r="N904" t="s">
        <v>28</v>
      </c>
      <c r="O904" t="str">
        <f t="shared" si="42"/>
        <v>August</v>
      </c>
      <c r="P904">
        <f t="shared" si="43"/>
        <v>8</v>
      </c>
      <c r="Q904">
        <f t="shared" si="44"/>
        <v>2023</v>
      </c>
    </row>
    <row r="905" spans="1:17" x14ac:dyDescent="0.25">
      <c r="A905">
        <v>1095</v>
      </c>
      <c r="B905" s="1">
        <v>45003</v>
      </c>
      <c r="C905" t="s">
        <v>38</v>
      </c>
      <c r="D905" t="s">
        <v>25</v>
      </c>
      <c r="E905" s="4">
        <v>8057.67</v>
      </c>
      <c r="F905" s="2">
        <v>43</v>
      </c>
      <c r="G905" t="s">
        <v>16</v>
      </c>
      <c r="H905">
        <v>1331.86</v>
      </c>
      <c r="I905">
        <v>1758.98</v>
      </c>
      <c r="J905" t="s">
        <v>17</v>
      </c>
      <c r="K905" s="5">
        <v>0.23</v>
      </c>
      <c r="L905" t="s">
        <v>27</v>
      </c>
      <c r="M905" t="s">
        <v>22</v>
      </c>
      <c r="N905" t="s">
        <v>39</v>
      </c>
      <c r="O905" t="str">
        <f t="shared" si="42"/>
        <v>March</v>
      </c>
      <c r="P905">
        <f t="shared" si="43"/>
        <v>3</v>
      </c>
      <c r="Q905">
        <f t="shared" si="44"/>
        <v>2023</v>
      </c>
    </row>
    <row r="906" spans="1:17" x14ac:dyDescent="0.25">
      <c r="A906">
        <v>1075</v>
      </c>
      <c r="B906" s="1">
        <v>45042</v>
      </c>
      <c r="C906" t="s">
        <v>24</v>
      </c>
      <c r="D906" t="s">
        <v>25</v>
      </c>
      <c r="E906" s="4">
        <v>1457.77</v>
      </c>
      <c r="F906" s="2">
        <v>37</v>
      </c>
      <c r="G906" t="s">
        <v>35</v>
      </c>
      <c r="H906">
        <v>4399.8</v>
      </c>
      <c r="I906">
        <v>4801.0600000000004</v>
      </c>
      <c r="J906" t="s">
        <v>30</v>
      </c>
      <c r="K906" s="5">
        <v>0.13</v>
      </c>
      <c r="L906" t="s">
        <v>27</v>
      </c>
      <c r="M906" t="s">
        <v>22</v>
      </c>
      <c r="N906" t="s">
        <v>28</v>
      </c>
      <c r="O906" t="str">
        <f t="shared" si="42"/>
        <v>April</v>
      </c>
      <c r="P906">
        <f t="shared" si="43"/>
        <v>4</v>
      </c>
      <c r="Q906">
        <f t="shared" si="44"/>
        <v>2023</v>
      </c>
    </row>
    <row r="907" spans="1:17" x14ac:dyDescent="0.25">
      <c r="A907">
        <v>1016</v>
      </c>
      <c r="B907" s="1">
        <v>45080</v>
      </c>
      <c r="C907" t="s">
        <v>24</v>
      </c>
      <c r="D907" t="s">
        <v>21</v>
      </c>
      <c r="E907" s="4">
        <v>5848.92</v>
      </c>
      <c r="F907" s="2">
        <v>46</v>
      </c>
      <c r="G907" t="s">
        <v>29</v>
      </c>
      <c r="H907">
        <v>1023.5</v>
      </c>
      <c r="I907">
        <v>1164.4100000000001</v>
      </c>
      <c r="J907" t="s">
        <v>17</v>
      </c>
      <c r="K907" s="5">
        <v>0.28000000000000003</v>
      </c>
      <c r="L907" t="s">
        <v>31</v>
      </c>
      <c r="M907" t="s">
        <v>22</v>
      </c>
      <c r="N907" t="s">
        <v>47</v>
      </c>
      <c r="O907" t="str">
        <f t="shared" si="42"/>
        <v>June</v>
      </c>
      <c r="P907">
        <f t="shared" si="43"/>
        <v>6</v>
      </c>
      <c r="Q907">
        <f t="shared" si="44"/>
        <v>2023</v>
      </c>
    </row>
    <row r="908" spans="1:17" x14ac:dyDescent="0.25">
      <c r="A908">
        <v>1008</v>
      </c>
      <c r="B908" s="1">
        <v>45029</v>
      </c>
      <c r="C908" t="s">
        <v>33</v>
      </c>
      <c r="D908" t="s">
        <v>25</v>
      </c>
      <c r="E908" s="4">
        <v>5104.54</v>
      </c>
      <c r="F908" s="2">
        <v>24</v>
      </c>
      <c r="G908" t="s">
        <v>16</v>
      </c>
      <c r="H908">
        <v>4739.13</v>
      </c>
      <c r="I908">
        <v>4868.95</v>
      </c>
      <c r="J908" t="s">
        <v>30</v>
      </c>
      <c r="K908" s="5">
        <v>0.14000000000000001</v>
      </c>
      <c r="L908" t="s">
        <v>31</v>
      </c>
      <c r="M908" t="s">
        <v>22</v>
      </c>
      <c r="N908" t="s">
        <v>44</v>
      </c>
      <c r="O908" t="str">
        <f t="shared" si="42"/>
        <v>April</v>
      </c>
      <c r="P908">
        <f t="shared" si="43"/>
        <v>4</v>
      </c>
      <c r="Q908">
        <f t="shared" si="44"/>
        <v>2023</v>
      </c>
    </row>
    <row r="909" spans="1:17" x14ac:dyDescent="0.25">
      <c r="A909">
        <v>1004</v>
      </c>
      <c r="B909" s="1">
        <v>45120</v>
      </c>
      <c r="C909" t="s">
        <v>38</v>
      </c>
      <c r="D909" t="s">
        <v>34</v>
      </c>
      <c r="E909" s="4">
        <v>1526.38</v>
      </c>
      <c r="F909" s="2">
        <v>16</v>
      </c>
      <c r="G909" t="s">
        <v>29</v>
      </c>
      <c r="H909">
        <v>1067.83</v>
      </c>
      <c r="I909">
        <v>1189.22</v>
      </c>
      <c r="J909" t="s">
        <v>17</v>
      </c>
      <c r="K909" s="5">
        <v>0.26</v>
      </c>
      <c r="L909" t="s">
        <v>31</v>
      </c>
      <c r="M909" t="s">
        <v>22</v>
      </c>
      <c r="N909" t="s">
        <v>48</v>
      </c>
      <c r="O909" t="str">
        <f t="shared" si="42"/>
        <v>July</v>
      </c>
      <c r="P909">
        <f t="shared" si="43"/>
        <v>7</v>
      </c>
      <c r="Q909">
        <f t="shared" si="44"/>
        <v>2023</v>
      </c>
    </row>
    <row r="910" spans="1:17" x14ac:dyDescent="0.25">
      <c r="A910">
        <v>1004</v>
      </c>
      <c r="B910" s="1">
        <v>45092</v>
      </c>
      <c r="C910" t="s">
        <v>42</v>
      </c>
      <c r="D910" t="s">
        <v>34</v>
      </c>
      <c r="E910" s="4">
        <v>6277.59</v>
      </c>
      <c r="F910" s="2">
        <v>13</v>
      </c>
      <c r="G910" t="s">
        <v>16</v>
      </c>
      <c r="H910">
        <v>3087.73</v>
      </c>
      <c r="I910">
        <v>3263.96</v>
      </c>
      <c r="J910" t="s">
        <v>30</v>
      </c>
      <c r="K910" s="5">
        <v>0.24</v>
      </c>
      <c r="L910" t="s">
        <v>18</v>
      </c>
      <c r="M910" t="s">
        <v>22</v>
      </c>
      <c r="N910" t="s">
        <v>52</v>
      </c>
      <c r="O910" t="str">
        <f t="shared" si="42"/>
        <v>June</v>
      </c>
      <c r="P910">
        <f t="shared" si="43"/>
        <v>6</v>
      </c>
      <c r="Q910">
        <f t="shared" si="44"/>
        <v>2023</v>
      </c>
    </row>
    <row r="911" spans="1:17" x14ac:dyDescent="0.25">
      <c r="A911">
        <v>1056</v>
      </c>
      <c r="B911" s="1">
        <v>45285</v>
      </c>
      <c r="C911" t="s">
        <v>14</v>
      </c>
      <c r="D911" t="s">
        <v>15</v>
      </c>
      <c r="E911" s="4">
        <v>2809.04</v>
      </c>
      <c r="F911" s="2">
        <v>25</v>
      </c>
      <c r="G911" t="s">
        <v>29</v>
      </c>
      <c r="H911">
        <v>1154.28</v>
      </c>
      <c r="I911">
        <v>1408.4</v>
      </c>
      <c r="J911" t="s">
        <v>17</v>
      </c>
      <c r="K911" s="5">
        <v>0.28999999999999998</v>
      </c>
      <c r="L911" t="s">
        <v>27</v>
      </c>
      <c r="M911" t="s">
        <v>22</v>
      </c>
      <c r="N911" t="s">
        <v>20</v>
      </c>
      <c r="O911" t="str">
        <f t="shared" si="42"/>
        <v>December</v>
      </c>
      <c r="P911">
        <f t="shared" si="43"/>
        <v>12</v>
      </c>
      <c r="Q911">
        <f t="shared" si="44"/>
        <v>2023</v>
      </c>
    </row>
    <row r="912" spans="1:17" x14ac:dyDescent="0.25">
      <c r="A912">
        <v>1025</v>
      </c>
      <c r="B912" s="1">
        <v>45016</v>
      </c>
      <c r="C912" t="s">
        <v>24</v>
      </c>
      <c r="D912" t="s">
        <v>21</v>
      </c>
      <c r="E912" s="4">
        <v>4929.5600000000004</v>
      </c>
      <c r="F912" s="2">
        <v>4</v>
      </c>
      <c r="G912" t="s">
        <v>16</v>
      </c>
      <c r="H912">
        <v>2751.06</v>
      </c>
      <c r="I912">
        <v>2976.0099999999902</v>
      </c>
      <c r="J912" t="s">
        <v>17</v>
      </c>
      <c r="K912" s="5">
        <v>0.28000000000000003</v>
      </c>
      <c r="L912" t="s">
        <v>31</v>
      </c>
      <c r="M912" t="s">
        <v>19</v>
      </c>
      <c r="N912" t="s">
        <v>47</v>
      </c>
      <c r="O912" t="str">
        <f t="shared" si="42"/>
        <v>March</v>
      </c>
      <c r="P912">
        <f t="shared" si="43"/>
        <v>3</v>
      </c>
      <c r="Q912">
        <f t="shared" si="44"/>
        <v>2023</v>
      </c>
    </row>
    <row r="913" spans="1:17" x14ac:dyDescent="0.25">
      <c r="A913">
        <v>1067</v>
      </c>
      <c r="B913" s="1">
        <v>45100</v>
      </c>
      <c r="C913" t="s">
        <v>14</v>
      </c>
      <c r="D913" t="s">
        <v>15</v>
      </c>
      <c r="E913" s="4">
        <v>914.5</v>
      </c>
      <c r="F913" s="2">
        <v>11</v>
      </c>
      <c r="G913" t="s">
        <v>16</v>
      </c>
      <c r="H913">
        <v>3435.68</v>
      </c>
      <c r="I913">
        <v>3552.6299999999901</v>
      </c>
      <c r="J913" t="s">
        <v>30</v>
      </c>
      <c r="K913" s="5">
        <v>0.27</v>
      </c>
      <c r="L913" t="s">
        <v>18</v>
      </c>
      <c r="M913" t="s">
        <v>22</v>
      </c>
      <c r="N913" t="s">
        <v>20</v>
      </c>
      <c r="O913" t="str">
        <f t="shared" si="42"/>
        <v>June</v>
      </c>
      <c r="P913">
        <f t="shared" si="43"/>
        <v>6</v>
      </c>
      <c r="Q913">
        <f t="shared" si="44"/>
        <v>2023</v>
      </c>
    </row>
    <row r="914" spans="1:17" x14ac:dyDescent="0.25">
      <c r="A914">
        <v>1096</v>
      </c>
      <c r="B914" s="1">
        <v>45048</v>
      </c>
      <c r="C914" t="s">
        <v>42</v>
      </c>
      <c r="D914" t="s">
        <v>34</v>
      </c>
      <c r="E914" s="4">
        <v>4649.88</v>
      </c>
      <c r="F914" s="2">
        <v>32</v>
      </c>
      <c r="G914" t="s">
        <v>16</v>
      </c>
      <c r="H914">
        <v>991.63</v>
      </c>
      <c r="I914">
        <v>1065.55</v>
      </c>
      <c r="J914" t="s">
        <v>17</v>
      </c>
      <c r="K914" s="5">
        <v>0.22</v>
      </c>
      <c r="L914" t="s">
        <v>27</v>
      </c>
      <c r="M914" t="s">
        <v>22</v>
      </c>
      <c r="N914" t="s">
        <v>52</v>
      </c>
      <c r="O914" t="str">
        <f t="shared" si="42"/>
        <v>May</v>
      </c>
      <c r="P914">
        <f t="shared" si="43"/>
        <v>5</v>
      </c>
      <c r="Q914">
        <f t="shared" si="44"/>
        <v>2023</v>
      </c>
    </row>
    <row r="915" spans="1:17" x14ac:dyDescent="0.25">
      <c r="A915">
        <v>1067</v>
      </c>
      <c r="B915" s="1">
        <v>45069</v>
      </c>
      <c r="C915" t="s">
        <v>14</v>
      </c>
      <c r="D915" t="s">
        <v>15</v>
      </c>
      <c r="E915" s="4">
        <v>3133.99</v>
      </c>
      <c r="F915" s="2">
        <v>49</v>
      </c>
      <c r="G915" t="s">
        <v>16</v>
      </c>
      <c r="H915">
        <v>2628.38</v>
      </c>
      <c r="I915">
        <v>2644.54</v>
      </c>
      <c r="J915" t="s">
        <v>17</v>
      </c>
      <c r="K915" s="5">
        <v>0.11</v>
      </c>
      <c r="L915" t="s">
        <v>18</v>
      </c>
      <c r="M915" t="s">
        <v>19</v>
      </c>
      <c r="N915" t="s">
        <v>20</v>
      </c>
      <c r="O915" t="str">
        <f t="shared" si="42"/>
        <v>May</v>
      </c>
      <c r="P915">
        <f t="shared" si="43"/>
        <v>5</v>
      </c>
      <c r="Q915">
        <f t="shared" si="44"/>
        <v>2023</v>
      </c>
    </row>
    <row r="916" spans="1:17" x14ac:dyDescent="0.25">
      <c r="A916">
        <v>1027</v>
      </c>
      <c r="B916" s="1">
        <v>45032</v>
      </c>
      <c r="C916" t="s">
        <v>42</v>
      </c>
      <c r="D916" t="s">
        <v>34</v>
      </c>
      <c r="E916" s="4">
        <v>8241.57</v>
      </c>
      <c r="F916" s="2">
        <v>7</v>
      </c>
      <c r="G916" t="s">
        <v>26</v>
      </c>
      <c r="H916">
        <v>2371.85</v>
      </c>
      <c r="I916">
        <v>2457.29</v>
      </c>
      <c r="J916" t="s">
        <v>30</v>
      </c>
      <c r="K916" s="5">
        <v>0.03</v>
      </c>
      <c r="L916" t="s">
        <v>18</v>
      </c>
      <c r="M916" t="s">
        <v>22</v>
      </c>
      <c r="N916" t="s">
        <v>52</v>
      </c>
      <c r="O916" t="str">
        <f t="shared" si="42"/>
        <v>April</v>
      </c>
      <c r="P916">
        <f t="shared" si="43"/>
        <v>4</v>
      </c>
      <c r="Q916">
        <f t="shared" si="44"/>
        <v>2023</v>
      </c>
    </row>
    <row r="917" spans="1:17" x14ac:dyDescent="0.25">
      <c r="A917">
        <v>1093</v>
      </c>
      <c r="B917" s="1">
        <v>45231</v>
      </c>
      <c r="C917" t="s">
        <v>33</v>
      </c>
      <c r="D917" t="s">
        <v>15</v>
      </c>
      <c r="E917" s="4">
        <v>664.09</v>
      </c>
      <c r="F917" s="2">
        <v>46</v>
      </c>
      <c r="G917" t="s">
        <v>29</v>
      </c>
      <c r="H917">
        <v>401.64</v>
      </c>
      <c r="I917">
        <v>757.26</v>
      </c>
      <c r="J917" t="s">
        <v>30</v>
      </c>
      <c r="K917" s="5">
        <v>0.21</v>
      </c>
      <c r="L917" t="s">
        <v>31</v>
      </c>
      <c r="M917" t="s">
        <v>22</v>
      </c>
      <c r="N917" t="s">
        <v>53</v>
      </c>
      <c r="O917" t="str">
        <f t="shared" si="42"/>
        <v>November</v>
      </c>
      <c r="P917">
        <f t="shared" si="43"/>
        <v>11</v>
      </c>
      <c r="Q917">
        <f t="shared" si="44"/>
        <v>2023</v>
      </c>
    </row>
    <row r="918" spans="1:17" x14ac:dyDescent="0.25">
      <c r="A918">
        <v>1032</v>
      </c>
      <c r="B918" s="1">
        <v>45286</v>
      </c>
      <c r="C918" t="s">
        <v>24</v>
      </c>
      <c r="D918" t="s">
        <v>25</v>
      </c>
      <c r="E918" s="4">
        <v>4244.21</v>
      </c>
      <c r="F918" s="2">
        <v>11</v>
      </c>
      <c r="G918" t="s">
        <v>29</v>
      </c>
      <c r="H918">
        <v>4100.62</v>
      </c>
      <c r="I918">
        <v>4230</v>
      </c>
      <c r="J918" t="s">
        <v>30</v>
      </c>
      <c r="K918" s="5">
        <v>0.28999999999999998</v>
      </c>
      <c r="L918" t="s">
        <v>27</v>
      </c>
      <c r="M918" t="s">
        <v>19</v>
      </c>
      <c r="N918" t="s">
        <v>28</v>
      </c>
      <c r="O918" t="str">
        <f t="shared" si="42"/>
        <v>December</v>
      </c>
      <c r="P918">
        <f t="shared" si="43"/>
        <v>12</v>
      </c>
      <c r="Q918">
        <f t="shared" si="44"/>
        <v>2023</v>
      </c>
    </row>
    <row r="919" spans="1:17" x14ac:dyDescent="0.25">
      <c r="A919">
        <v>1050</v>
      </c>
      <c r="B919" s="1">
        <v>45243</v>
      </c>
      <c r="C919" t="s">
        <v>42</v>
      </c>
      <c r="D919" t="s">
        <v>15</v>
      </c>
      <c r="E919" s="4">
        <v>4638.47</v>
      </c>
      <c r="F919" s="2">
        <v>28</v>
      </c>
      <c r="G919" t="s">
        <v>26</v>
      </c>
      <c r="H919">
        <v>1711.63</v>
      </c>
      <c r="I919">
        <v>1951.24</v>
      </c>
      <c r="J919" t="s">
        <v>30</v>
      </c>
      <c r="K919" s="5">
        <v>0.22</v>
      </c>
      <c r="L919" t="s">
        <v>18</v>
      </c>
      <c r="M919" t="s">
        <v>19</v>
      </c>
      <c r="N919" t="s">
        <v>49</v>
      </c>
      <c r="O919" t="str">
        <f t="shared" si="42"/>
        <v>November</v>
      </c>
      <c r="P919">
        <f t="shared" si="43"/>
        <v>11</v>
      </c>
      <c r="Q919">
        <f t="shared" si="44"/>
        <v>2023</v>
      </c>
    </row>
    <row r="920" spans="1:17" x14ac:dyDescent="0.25">
      <c r="A920">
        <v>1061</v>
      </c>
      <c r="B920" s="1">
        <v>45049</v>
      </c>
      <c r="C920" t="s">
        <v>14</v>
      </c>
      <c r="D920" t="s">
        <v>25</v>
      </c>
      <c r="E920" s="4">
        <v>7277.56</v>
      </c>
      <c r="F920" s="2">
        <v>41</v>
      </c>
      <c r="G920" t="s">
        <v>16</v>
      </c>
      <c r="H920">
        <v>2894.18</v>
      </c>
      <c r="I920">
        <v>3193.92</v>
      </c>
      <c r="J920" t="s">
        <v>30</v>
      </c>
      <c r="K920" s="5">
        <v>0.28000000000000003</v>
      </c>
      <c r="L920" t="s">
        <v>27</v>
      </c>
      <c r="M920" t="s">
        <v>22</v>
      </c>
      <c r="N920" t="s">
        <v>32</v>
      </c>
      <c r="O920" t="str">
        <f t="shared" si="42"/>
        <v>May</v>
      </c>
      <c r="P920">
        <f t="shared" si="43"/>
        <v>5</v>
      </c>
      <c r="Q920">
        <f t="shared" si="44"/>
        <v>2023</v>
      </c>
    </row>
    <row r="921" spans="1:17" x14ac:dyDescent="0.25">
      <c r="A921">
        <v>1051</v>
      </c>
      <c r="B921" s="1">
        <v>44935</v>
      </c>
      <c r="C921" t="s">
        <v>24</v>
      </c>
      <c r="D921" t="s">
        <v>25</v>
      </c>
      <c r="E921" s="4">
        <v>5785.45</v>
      </c>
      <c r="F921" s="2">
        <v>23</v>
      </c>
      <c r="G921" t="s">
        <v>16</v>
      </c>
      <c r="H921">
        <v>2598.1799999999998</v>
      </c>
      <c r="I921">
        <v>3042.73</v>
      </c>
      <c r="J921" t="s">
        <v>17</v>
      </c>
      <c r="K921" s="5">
        <v>0.24</v>
      </c>
      <c r="L921" t="s">
        <v>31</v>
      </c>
      <c r="M921" t="s">
        <v>19</v>
      </c>
      <c r="N921" t="s">
        <v>28</v>
      </c>
      <c r="O921" t="str">
        <f t="shared" si="42"/>
        <v>January</v>
      </c>
      <c r="P921">
        <f t="shared" si="43"/>
        <v>1</v>
      </c>
      <c r="Q921">
        <f t="shared" si="44"/>
        <v>2023</v>
      </c>
    </row>
    <row r="922" spans="1:17" x14ac:dyDescent="0.25">
      <c r="A922">
        <v>1019</v>
      </c>
      <c r="B922" s="1">
        <v>45188</v>
      </c>
      <c r="C922" t="s">
        <v>33</v>
      </c>
      <c r="D922" t="s">
        <v>21</v>
      </c>
      <c r="E922" s="4">
        <v>6705.4</v>
      </c>
      <c r="F922" s="2">
        <v>45</v>
      </c>
      <c r="G922" t="s">
        <v>29</v>
      </c>
      <c r="H922">
        <v>2590.64</v>
      </c>
      <c r="I922">
        <v>3036.18</v>
      </c>
      <c r="J922" t="s">
        <v>30</v>
      </c>
      <c r="K922" s="5">
        <v>0.05</v>
      </c>
      <c r="L922" t="s">
        <v>27</v>
      </c>
      <c r="M922" t="s">
        <v>22</v>
      </c>
      <c r="N922" t="s">
        <v>37</v>
      </c>
      <c r="O922" t="str">
        <f t="shared" si="42"/>
        <v>September</v>
      </c>
      <c r="P922">
        <f t="shared" si="43"/>
        <v>9</v>
      </c>
      <c r="Q922">
        <f t="shared" si="44"/>
        <v>2023</v>
      </c>
    </row>
    <row r="923" spans="1:17" x14ac:dyDescent="0.25">
      <c r="A923">
        <v>1021</v>
      </c>
      <c r="B923" s="1">
        <v>44999</v>
      </c>
      <c r="C923" t="s">
        <v>24</v>
      </c>
      <c r="D923" t="s">
        <v>25</v>
      </c>
      <c r="E923" s="4">
        <v>7792.79</v>
      </c>
      <c r="F923" s="2">
        <v>23</v>
      </c>
      <c r="G923" t="s">
        <v>26</v>
      </c>
      <c r="H923">
        <v>580.75</v>
      </c>
      <c r="I923">
        <v>956.16</v>
      </c>
      <c r="J923" t="s">
        <v>17</v>
      </c>
      <c r="K923" s="5">
        <v>7.0000000000000007E-2</v>
      </c>
      <c r="L923" t="s">
        <v>18</v>
      </c>
      <c r="M923" t="s">
        <v>22</v>
      </c>
      <c r="N923" t="s">
        <v>28</v>
      </c>
      <c r="O923" t="str">
        <f t="shared" si="42"/>
        <v>March</v>
      </c>
      <c r="P923">
        <f t="shared" si="43"/>
        <v>3</v>
      </c>
      <c r="Q923">
        <f t="shared" si="44"/>
        <v>2023</v>
      </c>
    </row>
    <row r="924" spans="1:17" x14ac:dyDescent="0.25">
      <c r="A924">
        <v>1005</v>
      </c>
      <c r="B924" s="1">
        <v>45285</v>
      </c>
      <c r="C924" t="s">
        <v>42</v>
      </c>
      <c r="D924" t="s">
        <v>25</v>
      </c>
      <c r="E924" s="4">
        <v>8635.81</v>
      </c>
      <c r="F924" s="2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 s="5">
        <v>0.1</v>
      </c>
      <c r="L924" t="s">
        <v>18</v>
      </c>
      <c r="M924" t="s">
        <v>22</v>
      </c>
      <c r="N924" t="s">
        <v>43</v>
      </c>
      <c r="O924" t="str">
        <f t="shared" si="42"/>
        <v>December</v>
      </c>
      <c r="P924">
        <f t="shared" si="43"/>
        <v>12</v>
      </c>
      <c r="Q924">
        <f t="shared" si="44"/>
        <v>2023</v>
      </c>
    </row>
    <row r="925" spans="1:17" x14ac:dyDescent="0.25">
      <c r="A925">
        <v>1082</v>
      </c>
      <c r="B925" s="1">
        <v>45149</v>
      </c>
      <c r="C925" t="s">
        <v>33</v>
      </c>
      <c r="D925" t="s">
        <v>15</v>
      </c>
      <c r="E925" s="4">
        <v>3207.37</v>
      </c>
      <c r="F925" s="2">
        <v>43</v>
      </c>
      <c r="G925" t="s">
        <v>16</v>
      </c>
      <c r="H925">
        <v>2289.2199999999998</v>
      </c>
      <c r="I925">
        <v>2581</v>
      </c>
      <c r="J925" t="s">
        <v>30</v>
      </c>
      <c r="K925" s="5">
        <v>0.05</v>
      </c>
      <c r="L925" t="s">
        <v>27</v>
      </c>
      <c r="M925" t="s">
        <v>19</v>
      </c>
      <c r="N925" t="s">
        <v>53</v>
      </c>
      <c r="O925" t="str">
        <f t="shared" si="42"/>
        <v>August</v>
      </c>
      <c r="P925">
        <f t="shared" si="43"/>
        <v>8</v>
      </c>
      <c r="Q925">
        <f t="shared" si="44"/>
        <v>2023</v>
      </c>
    </row>
    <row r="926" spans="1:17" x14ac:dyDescent="0.25">
      <c r="A926">
        <v>1092</v>
      </c>
      <c r="B926" s="1">
        <v>44967</v>
      </c>
      <c r="C926" t="s">
        <v>14</v>
      </c>
      <c r="D926" t="s">
        <v>34</v>
      </c>
      <c r="E926" s="4">
        <v>5426.42</v>
      </c>
      <c r="F926" s="2">
        <v>47</v>
      </c>
      <c r="G926" t="s">
        <v>16</v>
      </c>
      <c r="H926">
        <v>3681.53</v>
      </c>
      <c r="I926">
        <v>4076.96</v>
      </c>
      <c r="J926" t="s">
        <v>17</v>
      </c>
      <c r="K926" s="5">
        <v>0.17</v>
      </c>
      <c r="L926" t="s">
        <v>18</v>
      </c>
      <c r="M926" t="s">
        <v>22</v>
      </c>
      <c r="N926" t="s">
        <v>46</v>
      </c>
      <c r="O926" t="str">
        <f t="shared" si="42"/>
        <v>February</v>
      </c>
      <c r="P926">
        <f t="shared" si="43"/>
        <v>2</v>
      </c>
      <c r="Q926">
        <f t="shared" si="44"/>
        <v>2023</v>
      </c>
    </row>
    <row r="927" spans="1:17" x14ac:dyDescent="0.25">
      <c r="A927">
        <v>1042</v>
      </c>
      <c r="B927" s="1">
        <v>45130</v>
      </c>
      <c r="C927" t="s">
        <v>33</v>
      </c>
      <c r="D927" t="s">
        <v>21</v>
      </c>
      <c r="E927" s="4">
        <v>8417.07</v>
      </c>
      <c r="F927" s="2">
        <v>26</v>
      </c>
      <c r="G927" t="s">
        <v>35</v>
      </c>
      <c r="H927">
        <v>4208.09</v>
      </c>
      <c r="I927">
        <v>4226.5600000000004</v>
      </c>
      <c r="J927" t="s">
        <v>17</v>
      </c>
      <c r="K927" s="5">
        <v>0.28999999999999998</v>
      </c>
      <c r="L927" t="s">
        <v>18</v>
      </c>
      <c r="M927" t="s">
        <v>22</v>
      </c>
      <c r="N927" t="s">
        <v>37</v>
      </c>
      <c r="O927" t="str">
        <f t="shared" si="42"/>
        <v>July</v>
      </c>
      <c r="P927">
        <f t="shared" si="43"/>
        <v>7</v>
      </c>
      <c r="Q927">
        <f t="shared" si="44"/>
        <v>2023</v>
      </c>
    </row>
    <row r="928" spans="1:17" x14ac:dyDescent="0.25">
      <c r="A928">
        <v>1061</v>
      </c>
      <c r="B928" s="1">
        <v>45190</v>
      </c>
      <c r="C928" t="s">
        <v>33</v>
      </c>
      <c r="D928" t="s">
        <v>25</v>
      </c>
      <c r="E928" s="4">
        <v>9895.57</v>
      </c>
      <c r="F928" s="2">
        <v>25</v>
      </c>
      <c r="G928" t="s">
        <v>26</v>
      </c>
      <c r="H928">
        <v>2747.66</v>
      </c>
      <c r="I928">
        <v>3027.0099999999902</v>
      </c>
      <c r="J928" t="s">
        <v>30</v>
      </c>
      <c r="K928" s="5">
        <v>0.23</v>
      </c>
      <c r="L928" t="s">
        <v>18</v>
      </c>
      <c r="M928" t="s">
        <v>19</v>
      </c>
      <c r="N928" t="s">
        <v>44</v>
      </c>
      <c r="O928" t="str">
        <f t="shared" si="42"/>
        <v>September</v>
      </c>
      <c r="P928">
        <f t="shared" si="43"/>
        <v>9</v>
      </c>
      <c r="Q928">
        <f t="shared" si="44"/>
        <v>2023</v>
      </c>
    </row>
    <row r="929" spans="1:17" x14ac:dyDescent="0.25">
      <c r="A929">
        <v>1022</v>
      </c>
      <c r="B929" s="1">
        <v>45254</v>
      </c>
      <c r="C929" t="s">
        <v>38</v>
      </c>
      <c r="D929" t="s">
        <v>21</v>
      </c>
      <c r="E929" s="4">
        <v>8906.24</v>
      </c>
      <c r="F929" s="2">
        <v>29</v>
      </c>
      <c r="G929" t="s">
        <v>16</v>
      </c>
      <c r="H929">
        <v>479.58</v>
      </c>
      <c r="I929">
        <v>909.88</v>
      </c>
      <c r="J929" t="s">
        <v>17</v>
      </c>
      <c r="K929" s="5">
        <v>0.13</v>
      </c>
      <c r="L929" t="s">
        <v>31</v>
      </c>
      <c r="M929" t="s">
        <v>22</v>
      </c>
      <c r="N929" t="s">
        <v>41</v>
      </c>
      <c r="O929" t="str">
        <f t="shared" si="42"/>
        <v>November</v>
      </c>
      <c r="P929">
        <f t="shared" si="43"/>
        <v>11</v>
      </c>
      <c r="Q929">
        <f t="shared" si="44"/>
        <v>2023</v>
      </c>
    </row>
    <row r="930" spans="1:17" x14ac:dyDescent="0.25">
      <c r="A930">
        <v>1021</v>
      </c>
      <c r="B930" s="1">
        <v>45104</v>
      </c>
      <c r="C930" t="s">
        <v>33</v>
      </c>
      <c r="D930" t="s">
        <v>15</v>
      </c>
      <c r="E930" s="4">
        <v>3777.53</v>
      </c>
      <c r="F930" s="2">
        <v>19</v>
      </c>
      <c r="G930" t="s">
        <v>35</v>
      </c>
      <c r="H930">
        <v>1222.4000000000001</v>
      </c>
      <c r="I930">
        <v>1464.71</v>
      </c>
      <c r="J930" t="s">
        <v>30</v>
      </c>
      <c r="K930" s="5">
        <v>0</v>
      </c>
      <c r="L930" t="s">
        <v>31</v>
      </c>
      <c r="M930" t="s">
        <v>22</v>
      </c>
      <c r="N930" t="s">
        <v>53</v>
      </c>
      <c r="O930" t="str">
        <f t="shared" si="42"/>
        <v>June</v>
      </c>
      <c r="P930">
        <f t="shared" si="43"/>
        <v>6</v>
      </c>
      <c r="Q930">
        <f t="shared" si="44"/>
        <v>2023</v>
      </c>
    </row>
    <row r="931" spans="1:17" x14ac:dyDescent="0.25">
      <c r="A931">
        <v>1070</v>
      </c>
      <c r="B931" s="1">
        <v>45274</v>
      </c>
      <c r="C931" t="s">
        <v>33</v>
      </c>
      <c r="D931" t="s">
        <v>25</v>
      </c>
      <c r="E931" s="4">
        <v>2032.15</v>
      </c>
      <c r="F931" s="2">
        <v>33</v>
      </c>
      <c r="G931" t="s">
        <v>26</v>
      </c>
      <c r="H931">
        <v>866.42</v>
      </c>
      <c r="I931">
        <v>878.43</v>
      </c>
      <c r="J931" t="s">
        <v>30</v>
      </c>
      <c r="K931" s="5">
        <v>0.09</v>
      </c>
      <c r="L931" t="s">
        <v>18</v>
      </c>
      <c r="M931" t="s">
        <v>22</v>
      </c>
      <c r="N931" t="s">
        <v>44</v>
      </c>
      <c r="O931" t="str">
        <f t="shared" si="42"/>
        <v>December</v>
      </c>
      <c r="P931">
        <f t="shared" si="43"/>
        <v>12</v>
      </c>
      <c r="Q931">
        <f t="shared" si="44"/>
        <v>2023</v>
      </c>
    </row>
    <row r="932" spans="1:17" x14ac:dyDescent="0.25">
      <c r="A932">
        <v>1001</v>
      </c>
      <c r="B932" s="1">
        <v>45244</v>
      </c>
      <c r="C932" t="s">
        <v>24</v>
      </c>
      <c r="D932" t="s">
        <v>15</v>
      </c>
      <c r="E932" s="4">
        <v>4944.99</v>
      </c>
      <c r="F932" s="2">
        <v>36</v>
      </c>
      <c r="G932" t="s">
        <v>16</v>
      </c>
      <c r="H932">
        <v>666.84</v>
      </c>
      <c r="I932">
        <v>682.24</v>
      </c>
      <c r="J932" t="s">
        <v>30</v>
      </c>
      <c r="K932" s="5">
        <v>0.16</v>
      </c>
      <c r="L932" t="s">
        <v>27</v>
      </c>
      <c r="M932" t="s">
        <v>22</v>
      </c>
      <c r="N932" t="s">
        <v>45</v>
      </c>
      <c r="O932" t="str">
        <f t="shared" si="42"/>
        <v>November</v>
      </c>
      <c r="P932">
        <f t="shared" si="43"/>
        <v>11</v>
      </c>
      <c r="Q932">
        <f t="shared" si="44"/>
        <v>2023</v>
      </c>
    </row>
    <row r="933" spans="1:17" x14ac:dyDescent="0.25">
      <c r="A933">
        <v>1005</v>
      </c>
      <c r="B933" s="1">
        <v>45010</v>
      </c>
      <c r="C933" t="s">
        <v>14</v>
      </c>
      <c r="D933" t="s">
        <v>21</v>
      </c>
      <c r="E933" s="4">
        <v>7442.25</v>
      </c>
      <c r="F933" s="2">
        <v>14</v>
      </c>
      <c r="G933" t="s">
        <v>29</v>
      </c>
      <c r="H933">
        <v>1861.2</v>
      </c>
      <c r="I933">
        <v>2075.35</v>
      </c>
      <c r="J933" t="s">
        <v>17</v>
      </c>
      <c r="K933" s="5">
        <v>0.1</v>
      </c>
      <c r="L933" t="s">
        <v>31</v>
      </c>
      <c r="M933" t="s">
        <v>22</v>
      </c>
      <c r="N933" t="s">
        <v>23</v>
      </c>
      <c r="O933" t="str">
        <f t="shared" si="42"/>
        <v>March</v>
      </c>
      <c r="P933">
        <f t="shared" si="43"/>
        <v>3</v>
      </c>
      <c r="Q933">
        <f t="shared" si="44"/>
        <v>2023</v>
      </c>
    </row>
    <row r="934" spans="1:17" x14ac:dyDescent="0.25">
      <c r="A934">
        <v>1012</v>
      </c>
      <c r="B934" s="1">
        <v>45244</v>
      </c>
      <c r="C934" t="s">
        <v>24</v>
      </c>
      <c r="D934" t="s">
        <v>15</v>
      </c>
      <c r="E934" s="4">
        <v>4976.43</v>
      </c>
      <c r="F934" s="2">
        <v>14</v>
      </c>
      <c r="G934" t="s">
        <v>35</v>
      </c>
      <c r="H934">
        <v>1185.5</v>
      </c>
      <c r="I934">
        <v>1271.45</v>
      </c>
      <c r="J934" t="s">
        <v>17</v>
      </c>
      <c r="K934" s="5">
        <v>0.03</v>
      </c>
      <c r="L934" t="s">
        <v>27</v>
      </c>
      <c r="M934" t="s">
        <v>22</v>
      </c>
      <c r="N934" t="s">
        <v>45</v>
      </c>
      <c r="O934" t="str">
        <f t="shared" si="42"/>
        <v>November</v>
      </c>
      <c r="P934">
        <f t="shared" si="43"/>
        <v>11</v>
      </c>
      <c r="Q934">
        <f t="shared" si="44"/>
        <v>2023</v>
      </c>
    </row>
    <row r="935" spans="1:17" x14ac:dyDescent="0.25">
      <c r="A935">
        <v>1090</v>
      </c>
      <c r="B935" s="1">
        <v>45037</v>
      </c>
      <c r="C935" t="s">
        <v>24</v>
      </c>
      <c r="D935" t="s">
        <v>21</v>
      </c>
      <c r="E935" s="4">
        <v>4883.49</v>
      </c>
      <c r="F935" s="2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 s="5">
        <v>0.13</v>
      </c>
      <c r="L935" t="s">
        <v>18</v>
      </c>
      <c r="M935" t="s">
        <v>19</v>
      </c>
      <c r="N935" t="s">
        <v>47</v>
      </c>
      <c r="O935" t="str">
        <f t="shared" si="42"/>
        <v>April</v>
      </c>
      <c r="P935">
        <f t="shared" si="43"/>
        <v>4</v>
      </c>
      <c r="Q935">
        <f t="shared" si="44"/>
        <v>2023</v>
      </c>
    </row>
    <row r="936" spans="1:17" x14ac:dyDescent="0.25">
      <c r="A936">
        <v>1046</v>
      </c>
      <c r="B936" s="1">
        <v>45177</v>
      </c>
      <c r="C936" t="s">
        <v>42</v>
      </c>
      <c r="D936" t="s">
        <v>15</v>
      </c>
      <c r="E936" s="4">
        <v>8398.48</v>
      </c>
      <c r="F936" s="2">
        <v>30</v>
      </c>
      <c r="G936" t="s">
        <v>16</v>
      </c>
      <c r="H936">
        <v>320.73</v>
      </c>
      <c r="I936">
        <v>678.04</v>
      </c>
      <c r="J936" t="s">
        <v>17</v>
      </c>
      <c r="K936" s="5">
        <v>0.08</v>
      </c>
      <c r="L936" t="s">
        <v>18</v>
      </c>
      <c r="M936" t="s">
        <v>22</v>
      </c>
      <c r="N936" t="s">
        <v>49</v>
      </c>
      <c r="O936" t="str">
        <f t="shared" si="42"/>
        <v>September</v>
      </c>
      <c r="P936">
        <f t="shared" si="43"/>
        <v>9</v>
      </c>
      <c r="Q936">
        <f t="shared" si="44"/>
        <v>2023</v>
      </c>
    </row>
    <row r="937" spans="1:17" x14ac:dyDescent="0.25">
      <c r="A937">
        <v>1034</v>
      </c>
      <c r="B937" s="1">
        <v>44933</v>
      </c>
      <c r="C937" t="s">
        <v>24</v>
      </c>
      <c r="D937" t="s">
        <v>21</v>
      </c>
      <c r="E937" s="4">
        <v>3677.9</v>
      </c>
      <c r="F937" s="2">
        <v>28</v>
      </c>
      <c r="G937" t="s">
        <v>16</v>
      </c>
      <c r="H937">
        <v>137.47</v>
      </c>
      <c r="I937">
        <v>234.63</v>
      </c>
      <c r="J937" t="s">
        <v>30</v>
      </c>
      <c r="K937" s="5">
        <v>0.27</v>
      </c>
      <c r="L937" t="s">
        <v>27</v>
      </c>
      <c r="M937" t="s">
        <v>22</v>
      </c>
      <c r="N937" t="s">
        <v>47</v>
      </c>
      <c r="O937" t="str">
        <f t="shared" si="42"/>
        <v>January</v>
      </c>
      <c r="P937">
        <f t="shared" si="43"/>
        <v>1</v>
      </c>
      <c r="Q937">
        <f t="shared" si="44"/>
        <v>2023</v>
      </c>
    </row>
    <row r="938" spans="1:17" x14ac:dyDescent="0.25">
      <c r="A938">
        <v>1049</v>
      </c>
      <c r="B938" s="1">
        <v>45010</v>
      </c>
      <c r="C938" t="s">
        <v>38</v>
      </c>
      <c r="D938" t="s">
        <v>34</v>
      </c>
      <c r="E938" s="4">
        <v>8611.9699999999993</v>
      </c>
      <c r="F938" s="2">
        <v>17</v>
      </c>
      <c r="G938" t="s">
        <v>35</v>
      </c>
      <c r="H938">
        <v>558.70000000000005</v>
      </c>
      <c r="I938">
        <v>1004.08</v>
      </c>
      <c r="J938" t="s">
        <v>17</v>
      </c>
      <c r="K938" s="5">
        <v>0.03</v>
      </c>
      <c r="L938" t="s">
        <v>31</v>
      </c>
      <c r="M938" t="s">
        <v>19</v>
      </c>
      <c r="N938" t="s">
        <v>48</v>
      </c>
      <c r="O938" t="str">
        <f t="shared" si="42"/>
        <v>March</v>
      </c>
      <c r="P938">
        <f t="shared" si="43"/>
        <v>3</v>
      </c>
      <c r="Q938">
        <f t="shared" si="44"/>
        <v>2023</v>
      </c>
    </row>
    <row r="939" spans="1:17" x14ac:dyDescent="0.25">
      <c r="A939">
        <v>1078</v>
      </c>
      <c r="B939" s="1">
        <v>45134</v>
      </c>
      <c r="C939" t="s">
        <v>38</v>
      </c>
      <c r="D939" t="s">
        <v>15</v>
      </c>
      <c r="E939" s="4">
        <v>4127.37</v>
      </c>
      <c r="F939" s="2">
        <v>3</v>
      </c>
      <c r="G939" t="s">
        <v>29</v>
      </c>
      <c r="H939">
        <v>902.38</v>
      </c>
      <c r="I939">
        <v>1128.9100000000001</v>
      </c>
      <c r="J939" t="s">
        <v>30</v>
      </c>
      <c r="K939" s="5">
        <v>0.01</v>
      </c>
      <c r="L939" t="s">
        <v>27</v>
      </c>
      <c r="M939" t="s">
        <v>22</v>
      </c>
      <c r="N939" t="s">
        <v>40</v>
      </c>
      <c r="O939" t="str">
        <f t="shared" si="42"/>
        <v>July</v>
      </c>
      <c r="P939">
        <f t="shared" si="43"/>
        <v>7</v>
      </c>
      <c r="Q939">
        <f t="shared" si="44"/>
        <v>2023</v>
      </c>
    </row>
    <row r="940" spans="1:17" x14ac:dyDescent="0.25">
      <c r="A940">
        <v>1090</v>
      </c>
      <c r="B940" s="1">
        <v>45240</v>
      </c>
      <c r="C940" t="s">
        <v>42</v>
      </c>
      <c r="D940" t="s">
        <v>15</v>
      </c>
      <c r="E940" s="4">
        <v>3349.51</v>
      </c>
      <c r="F940" s="2">
        <v>16</v>
      </c>
      <c r="G940" t="s">
        <v>29</v>
      </c>
      <c r="H940">
        <v>2183.37</v>
      </c>
      <c r="I940">
        <v>2263.3599999999901</v>
      </c>
      <c r="J940" t="s">
        <v>17</v>
      </c>
      <c r="K940" s="5">
        <v>0</v>
      </c>
      <c r="L940" t="s">
        <v>27</v>
      </c>
      <c r="M940" t="s">
        <v>22</v>
      </c>
      <c r="N940" t="s">
        <v>49</v>
      </c>
      <c r="O940" t="str">
        <f t="shared" si="42"/>
        <v>November</v>
      </c>
      <c r="P940">
        <f t="shared" si="43"/>
        <v>11</v>
      </c>
      <c r="Q940">
        <f t="shared" si="44"/>
        <v>2023</v>
      </c>
    </row>
    <row r="941" spans="1:17" x14ac:dyDescent="0.25">
      <c r="A941">
        <v>1045</v>
      </c>
      <c r="B941" s="1">
        <v>44948</v>
      </c>
      <c r="C941" t="s">
        <v>14</v>
      </c>
      <c r="D941" t="s">
        <v>34</v>
      </c>
      <c r="E941" s="4">
        <v>4594.5</v>
      </c>
      <c r="F941" s="2">
        <v>46</v>
      </c>
      <c r="G941" t="s">
        <v>26</v>
      </c>
      <c r="H941">
        <v>2577.08</v>
      </c>
      <c r="I941">
        <v>2961.56</v>
      </c>
      <c r="J941" t="s">
        <v>17</v>
      </c>
      <c r="K941" s="5">
        <v>0.1</v>
      </c>
      <c r="L941" t="s">
        <v>18</v>
      </c>
      <c r="M941" t="s">
        <v>19</v>
      </c>
      <c r="N941" t="s">
        <v>46</v>
      </c>
      <c r="O941" t="str">
        <f t="shared" si="42"/>
        <v>January</v>
      </c>
      <c r="P941">
        <f t="shared" si="43"/>
        <v>1</v>
      </c>
      <c r="Q941">
        <f t="shared" si="44"/>
        <v>2023</v>
      </c>
    </row>
    <row r="942" spans="1:17" x14ac:dyDescent="0.25">
      <c r="A942">
        <v>1027</v>
      </c>
      <c r="B942" s="1">
        <v>44929</v>
      </c>
      <c r="C942" t="s">
        <v>14</v>
      </c>
      <c r="D942" t="s">
        <v>34</v>
      </c>
      <c r="E942" s="4">
        <v>7648.22</v>
      </c>
      <c r="F942" s="2">
        <v>30</v>
      </c>
      <c r="G942" t="s">
        <v>16</v>
      </c>
      <c r="H942">
        <v>745.93</v>
      </c>
      <c r="I942">
        <v>1143.02</v>
      </c>
      <c r="J942" t="s">
        <v>17</v>
      </c>
      <c r="K942" s="5">
        <v>0.2</v>
      </c>
      <c r="L942" t="s">
        <v>31</v>
      </c>
      <c r="M942" t="s">
        <v>19</v>
      </c>
      <c r="N942" t="s">
        <v>46</v>
      </c>
      <c r="O942" t="str">
        <f t="shared" si="42"/>
        <v>January</v>
      </c>
      <c r="P942">
        <f t="shared" si="43"/>
        <v>1</v>
      </c>
      <c r="Q942">
        <f t="shared" si="44"/>
        <v>2023</v>
      </c>
    </row>
    <row r="943" spans="1:17" x14ac:dyDescent="0.25">
      <c r="A943">
        <v>1073</v>
      </c>
      <c r="B943" s="1">
        <v>45053</v>
      </c>
      <c r="C943" t="s">
        <v>24</v>
      </c>
      <c r="D943" t="s">
        <v>15</v>
      </c>
      <c r="E943" s="4">
        <v>1347.42</v>
      </c>
      <c r="F943" s="2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 s="5">
        <v>0.22</v>
      </c>
      <c r="L943" t="s">
        <v>27</v>
      </c>
      <c r="M943" t="s">
        <v>19</v>
      </c>
      <c r="N943" t="s">
        <v>45</v>
      </c>
      <c r="O943" t="str">
        <f t="shared" si="42"/>
        <v>May</v>
      </c>
      <c r="P943">
        <f t="shared" si="43"/>
        <v>5</v>
      </c>
      <c r="Q943">
        <f t="shared" si="44"/>
        <v>2023</v>
      </c>
    </row>
    <row r="944" spans="1:17" x14ac:dyDescent="0.25">
      <c r="A944">
        <v>1026</v>
      </c>
      <c r="B944" s="1">
        <v>45223</v>
      </c>
      <c r="C944" t="s">
        <v>24</v>
      </c>
      <c r="D944" t="s">
        <v>34</v>
      </c>
      <c r="E944" s="4">
        <v>2044.55</v>
      </c>
      <c r="F944" s="2">
        <v>45</v>
      </c>
      <c r="G944" t="s">
        <v>26</v>
      </c>
      <c r="H944">
        <v>1741.66</v>
      </c>
      <c r="I944">
        <v>2169.86</v>
      </c>
      <c r="J944" t="s">
        <v>17</v>
      </c>
      <c r="K944" s="5">
        <v>0.14000000000000001</v>
      </c>
      <c r="L944" t="s">
        <v>31</v>
      </c>
      <c r="M944" t="s">
        <v>19</v>
      </c>
      <c r="N944" t="s">
        <v>50</v>
      </c>
      <c r="O944" t="str">
        <f t="shared" si="42"/>
        <v>October</v>
      </c>
      <c r="P944">
        <f t="shared" si="43"/>
        <v>10</v>
      </c>
      <c r="Q944">
        <f t="shared" si="44"/>
        <v>2023</v>
      </c>
    </row>
    <row r="945" spans="1:17" x14ac:dyDescent="0.25">
      <c r="A945">
        <v>1047</v>
      </c>
      <c r="B945" s="1">
        <v>45114</v>
      </c>
      <c r="C945" t="s">
        <v>24</v>
      </c>
      <c r="D945" t="s">
        <v>25</v>
      </c>
      <c r="E945" s="4">
        <v>9519.2999999999993</v>
      </c>
      <c r="F945" s="2">
        <v>15</v>
      </c>
      <c r="G945" t="s">
        <v>29</v>
      </c>
      <c r="H945">
        <v>957.95</v>
      </c>
      <c r="I945">
        <v>1329.26</v>
      </c>
      <c r="J945" t="s">
        <v>30</v>
      </c>
      <c r="K945" s="5">
        <v>0.21</v>
      </c>
      <c r="L945" t="s">
        <v>18</v>
      </c>
      <c r="M945" t="s">
        <v>19</v>
      </c>
      <c r="N945" t="s">
        <v>28</v>
      </c>
      <c r="O945" t="str">
        <f t="shared" si="42"/>
        <v>July</v>
      </c>
      <c r="P945">
        <f t="shared" si="43"/>
        <v>7</v>
      </c>
      <c r="Q945">
        <f t="shared" si="44"/>
        <v>2023</v>
      </c>
    </row>
    <row r="946" spans="1:17" x14ac:dyDescent="0.25">
      <c r="A946">
        <v>1086</v>
      </c>
      <c r="B946" s="1">
        <v>45288</v>
      </c>
      <c r="C946" t="s">
        <v>14</v>
      </c>
      <c r="D946" t="s">
        <v>21</v>
      </c>
      <c r="E946" s="4">
        <v>1837.37</v>
      </c>
      <c r="F946" s="2">
        <v>46</v>
      </c>
      <c r="G946" t="s">
        <v>16</v>
      </c>
      <c r="H946">
        <v>83.86</v>
      </c>
      <c r="I946">
        <v>526.14</v>
      </c>
      <c r="J946" t="s">
        <v>17</v>
      </c>
      <c r="K946" s="5">
        <v>0.11</v>
      </c>
      <c r="L946" t="s">
        <v>31</v>
      </c>
      <c r="M946" t="s">
        <v>19</v>
      </c>
      <c r="N946" t="s">
        <v>23</v>
      </c>
      <c r="O946" t="str">
        <f t="shared" si="42"/>
        <v>December</v>
      </c>
      <c r="P946">
        <f t="shared" si="43"/>
        <v>12</v>
      </c>
      <c r="Q946">
        <f t="shared" si="44"/>
        <v>2023</v>
      </c>
    </row>
    <row r="947" spans="1:17" x14ac:dyDescent="0.25">
      <c r="A947">
        <v>1056</v>
      </c>
      <c r="B947" s="1">
        <v>44940</v>
      </c>
      <c r="C947" t="s">
        <v>33</v>
      </c>
      <c r="D947" t="s">
        <v>21</v>
      </c>
      <c r="E947" s="4">
        <v>5720.5</v>
      </c>
      <c r="F947" s="2">
        <v>25</v>
      </c>
      <c r="G947" t="s">
        <v>26</v>
      </c>
      <c r="H947">
        <v>2361.7399999999998</v>
      </c>
      <c r="I947">
        <v>2584.35</v>
      </c>
      <c r="J947" t="s">
        <v>17</v>
      </c>
      <c r="K947" s="5">
        <v>0.2</v>
      </c>
      <c r="L947" t="s">
        <v>18</v>
      </c>
      <c r="M947" t="s">
        <v>19</v>
      </c>
      <c r="N947" t="s">
        <v>37</v>
      </c>
      <c r="O947" t="str">
        <f t="shared" si="42"/>
        <v>January</v>
      </c>
      <c r="P947">
        <f t="shared" si="43"/>
        <v>1</v>
      </c>
      <c r="Q947">
        <f t="shared" si="44"/>
        <v>2023</v>
      </c>
    </row>
    <row r="948" spans="1:17" x14ac:dyDescent="0.25">
      <c r="A948">
        <v>1094</v>
      </c>
      <c r="B948" s="1">
        <v>44938</v>
      </c>
      <c r="C948" t="s">
        <v>38</v>
      </c>
      <c r="D948" t="s">
        <v>21</v>
      </c>
      <c r="E948" s="4">
        <v>5835.21</v>
      </c>
      <c r="F948" s="2">
        <v>38</v>
      </c>
      <c r="G948" t="s">
        <v>26</v>
      </c>
      <c r="H948">
        <v>3443.98</v>
      </c>
      <c r="I948">
        <v>3820.3</v>
      </c>
      <c r="J948" t="s">
        <v>17</v>
      </c>
      <c r="K948" s="5">
        <v>0.01</v>
      </c>
      <c r="L948" t="s">
        <v>31</v>
      </c>
      <c r="M948" t="s">
        <v>22</v>
      </c>
      <c r="N948" t="s">
        <v>41</v>
      </c>
      <c r="O948" t="str">
        <f t="shared" si="42"/>
        <v>January</v>
      </c>
      <c r="P948">
        <f t="shared" si="43"/>
        <v>1</v>
      </c>
      <c r="Q948">
        <f t="shared" si="44"/>
        <v>2023</v>
      </c>
    </row>
    <row r="949" spans="1:17" x14ac:dyDescent="0.25">
      <c r="A949">
        <v>1063</v>
      </c>
      <c r="B949" s="1">
        <v>45013</v>
      </c>
      <c r="C949" t="s">
        <v>33</v>
      </c>
      <c r="D949" t="s">
        <v>25</v>
      </c>
      <c r="E949" s="4">
        <v>4947.28</v>
      </c>
      <c r="F949" s="2">
        <v>42</v>
      </c>
      <c r="G949" t="s">
        <v>26</v>
      </c>
      <c r="H949">
        <v>1170.07</v>
      </c>
      <c r="I949">
        <v>1669.94999999999</v>
      </c>
      <c r="J949" t="s">
        <v>17</v>
      </c>
      <c r="K949" s="5">
        <v>0.12</v>
      </c>
      <c r="L949" t="s">
        <v>27</v>
      </c>
      <c r="M949" t="s">
        <v>22</v>
      </c>
      <c r="N949" t="s">
        <v>44</v>
      </c>
      <c r="O949" t="str">
        <f t="shared" si="42"/>
        <v>March</v>
      </c>
      <c r="P949">
        <f t="shared" si="43"/>
        <v>3</v>
      </c>
      <c r="Q949">
        <f t="shared" si="44"/>
        <v>2023</v>
      </c>
    </row>
    <row r="950" spans="1:17" x14ac:dyDescent="0.25">
      <c r="A950">
        <v>1048</v>
      </c>
      <c r="B950" s="1">
        <v>44938</v>
      </c>
      <c r="C950" t="s">
        <v>33</v>
      </c>
      <c r="D950" t="s">
        <v>34</v>
      </c>
      <c r="E950" s="4">
        <v>6482.98</v>
      </c>
      <c r="F950" s="2">
        <v>47</v>
      </c>
      <c r="G950" t="s">
        <v>29</v>
      </c>
      <c r="H950">
        <v>702.44</v>
      </c>
      <c r="I950">
        <v>1067.6600000000001</v>
      </c>
      <c r="J950" t="s">
        <v>30</v>
      </c>
      <c r="K950" s="5">
        <v>0.24</v>
      </c>
      <c r="L950" t="s">
        <v>18</v>
      </c>
      <c r="M950" t="s">
        <v>22</v>
      </c>
      <c r="N950" t="s">
        <v>36</v>
      </c>
      <c r="O950" t="str">
        <f t="shared" si="42"/>
        <v>January</v>
      </c>
      <c r="P950">
        <f t="shared" si="43"/>
        <v>1</v>
      </c>
      <c r="Q950">
        <f t="shared" si="44"/>
        <v>2023</v>
      </c>
    </row>
    <row r="951" spans="1:17" x14ac:dyDescent="0.25">
      <c r="A951">
        <v>1061</v>
      </c>
      <c r="B951" s="1">
        <v>44951</v>
      </c>
      <c r="C951" t="s">
        <v>14</v>
      </c>
      <c r="D951" t="s">
        <v>34</v>
      </c>
      <c r="E951" s="4">
        <v>2375.2800000000002</v>
      </c>
      <c r="F951" s="2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 s="5">
        <v>0.24</v>
      </c>
      <c r="L951" t="s">
        <v>27</v>
      </c>
      <c r="M951" t="s">
        <v>19</v>
      </c>
      <c r="N951" t="s">
        <v>46</v>
      </c>
      <c r="O951" t="str">
        <f t="shared" si="42"/>
        <v>January</v>
      </c>
      <c r="P951">
        <f t="shared" si="43"/>
        <v>1</v>
      </c>
      <c r="Q951">
        <f t="shared" si="44"/>
        <v>2023</v>
      </c>
    </row>
    <row r="952" spans="1:17" x14ac:dyDescent="0.25">
      <c r="A952">
        <v>1081</v>
      </c>
      <c r="B952" s="1">
        <v>45227</v>
      </c>
      <c r="C952" t="s">
        <v>33</v>
      </c>
      <c r="D952" t="s">
        <v>15</v>
      </c>
      <c r="E952" s="4">
        <v>5571.36</v>
      </c>
      <c r="F952" s="2">
        <v>23</v>
      </c>
      <c r="G952" t="s">
        <v>26</v>
      </c>
      <c r="H952">
        <v>1411.37</v>
      </c>
      <c r="I952">
        <v>1675.35</v>
      </c>
      <c r="J952" t="s">
        <v>30</v>
      </c>
      <c r="K952" s="5">
        <v>0.21</v>
      </c>
      <c r="L952" t="s">
        <v>18</v>
      </c>
      <c r="M952" t="s">
        <v>22</v>
      </c>
      <c r="N952" t="s">
        <v>53</v>
      </c>
      <c r="O952" t="str">
        <f t="shared" si="42"/>
        <v>October</v>
      </c>
      <c r="P952">
        <f t="shared" si="43"/>
        <v>10</v>
      </c>
      <c r="Q952">
        <f t="shared" si="44"/>
        <v>2023</v>
      </c>
    </row>
    <row r="953" spans="1:17" x14ac:dyDescent="0.25">
      <c r="A953">
        <v>1026</v>
      </c>
      <c r="B953" s="1">
        <v>45169</v>
      </c>
      <c r="C953" t="s">
        <v>42</v>
      </c>
      <c r="D953" t="s">
        <v>34</v>
      </c>
      <c r="E953" s="4">
        <v>3784.52</v>
      </c>
      <c r="F953" s="2">
        <v>25</v>
      </c>
      <c r="G953" t="s">
        <v>35</v>
      </c>
      <c r="H953">
        <v>1156.8800000000001</v>
      </c>
      <c r="I953">
        <v>1454.68</v>
      </c>
      <c r="J953" t="s">
        <v>17</v>
      </c>
      <c r="K953" s="5">
        <v>0.06</v>
      </c>
      <c r="L953" t="s">
        <v>31</v>
      </c>
      <c r="M953" t="s">
        <v>19</v>
      </c>
      <c r="N953" t="s">
        <v>52</v>
      </c>
      <c r="O953" t="str">
        <f t="shared" si="42"/>
        <v>August</v>
      </c>
      <c r="P953">
        <f t="shared" si="43"/>
        <v>8</v>
      </c>
      <c r="Q953">
        <f t="shared" si="44"/>
        <v>2023</v>
      </c>
    </row>
    <row r="954" spans="1:17" x14ac:dyDescent="0.25">
      <c r="A954">
        <v>1036</v>
      </c>
      <c r="B954" s="1">
        <v>45048</v>
      </c>
      <c r="C954" t="s">
        <v>24</v>
      </c>
      <c r="D954" t="s">
        <v>15</v>
      </c>
      <c r="E954" s="4">
        <v>6650.51</v>
      </c>
      <c r="F954" s="2">
        <v>42</v>
      </c>
      <c r="G954" t="s">
        <v>16</v>
      </c>
      <c r="H954">
        <v>4292.63</v>
      </c>
      <c r="I954">
        <v>4387.99</v>
      </c>
      <c r="J954" t="s">
        <v>30</v>
      </c>
      <c r="K954" s="5">
        <v>7.0000000000000007E-2</v>
      </c>
      <c r="L954" t="s">
        <v>31</v>
      </c>
      <c r="M954" t="s">
        <v>22</v>
      </c>
      <c r="N954" t="s">
        <v>45</v>
      </c>
      <c r="O954" t="str">
        <f t="shared" si="42"/>
        <v>May</v>
      </c>
      <c r="P954">
        <f t="shared" si="43"/>
        <v>5</v>
      </c>
      <c r="Q954">
        <f t="shared" si="44"/>
        <v>2023</v>
      </c>
    </row>
    <row r="955" spans="1:17" x14ac:dyDescent="0.25">
      <c r="A955">
        <v>1001</v>
      </c>
      <c r="B955" s="1">
        <v>45073</v>
      </c>
      <c r="C955" t="s">
        <v>42</v>
      </c>
      <c r="D955" t="s">
        <v>25</v>
      </c>
      <c r="E955" s="4">
        <v>1498.11</v>
      </c>
      <c r="F955" s="2">
        <v>7</v>
      </c>
      <c r="G955" t="s">
        <v>35</v>
      </c>
      <c r="H955">
        <v>4094.68</v>
      </c>
      <c r="I955">
        <v>4576.5</v>
      </c>
      <c r="J955" t="s">
        <v>30</v>
      </c>
      <c r="K955" s="5">
        <v>0.3</v>
      </c>
      <c r="L955" t="s">
        <v>18</v>
      </c>
      <c r="M955" t="s">
        <v>22</v>
      </c>
      <c r="N955" t="s">
        <v>43</v>
      </c>
      <c r="O955" t="str">
        <f t="shared" si="42"/>
        <v>May</v>
      </c>
      <c r="P955">
        <f t="shared" si="43"/>
        <v>5</v>
      </c>
      <c r="Q955">
        <f t="shared" si="44"/>
        <v>2023</v>
      </c>
    </row>
    <row r="956" spans="1:17" x14ac:dyDescent="0.25">
      <c r="A956">
        <v>1008</v>
      </c>
      <c r="B956" s="1">
        <v>44981</v>
      </c>
      <c r="C956" t="s">
        <v>38</v>
      </c>
      <c r="D956" t="s">
        <v>21</v>
      </c>
      <c r="E956" s="4">
        <v>5751.69</v>
      </c>
      <c r="F956" s="2">
        <v>22</v>
      </c>
      <c r="G956" t="s">
        <v>35</v>
      </c>
      <c r="H956">
        <v>2269.3200000000002</v>
      </c>
      <c r="I956">
        <v>2365.35</v>
      </c>
      <c r="J956" t="s">
        <v>30</v>
      </c>
      <c r="K956" s="5">
        <v>0.03</v>
      </c>
      <c r="L956" t="s">
        <v>18</v>
      </c>
      <c r="M956" t="s">
        <v>22</v>
      </c>
      <c r="N956" t="s">
        <v>41</v>
      </c>
      <c r="O956" t="str">
        <f t="shared" si="42"/>
        <v>February</v>
      </c>
      <c r="P956">
        <f t="shared" si="43"/>
        <v>2</v>
      </c>
      <c r="Q956">
        <f t="shared" si="44"/>
        <v>2023</v>
      </c>
    </row>
    <row r="957" spans="1:17" x14ac:dyDescent="0.25">
      <c r="A957">
        <v>1099</v>
      </c>
      <c r="B957" s="1">
        <v>45164</v>
      </c>
      <c r="C957" t="s">
        <v>24</v>
      </c>
      <c r="D957" t="s">
        <v>21</v>
      </c>
      <c r="E957" s="4">
        <v>1934.18</v>
      </c>
      <c r="F957" s="2">
        <v>17</v>
      </c>
      <c r="G957" t="s">
        <v>26</v>
      </c>
      <c r="H957">
        <v>2471.73</v>
      </c>
      <c r="I957">
        <v>2568.73</v>
      </c>
      <c r="J957" t="s">
        <v>30</v>
      </c>
      <c r="K957" s="5">
        <v>0.05</v>
      </c>
      <c r="L957" t="s">
        <v>18</v>
      </c>
      <c r="M957" t="s">
        <v>22</v>
      </c>
      <c r="N957" t="s">
        <v>47</v>
      </c>
      <c r="O957" t="str">
        <f t="shared" si="42"/>
        <v>August</v>
      </c>
      <c r="P957">
        <f t="shared" si="43"/>
        <v>8</v>
      </c>
      <c r="Q957">
        <f t="shared" si="44"/>
        <v>2023</v>
      </c>
    </row>
    <row r="958" spans="1:17" x14ac:dyDescent="0.25">
      <c r="A958">
        <v>1052</v>
      </c>
      <c r="B958" s="1">
        <v>45282</v>
      </c>
      <c r="C958" t="s">
        <v>33</v>
      </c>
      <c r="D958" t="s">
        <v>21</v>
      </c>
      <c r="E958" s="4">
        <v>2858.57</v>
      </c>
      <c r="F958" s="2">
        <v>18</v>
      </c>
      <c r="G958" t="s">
        <v>26</v>
      </c>
      <c r="H958">
        <v>1127.8599999999999</v>
      </c>
      <c r="I958">
        <v>1586.29</v>
      </c>
      <c r="J958" t="s">
        <v>30</v>
      </c>
      <c r="K958" s="5">
        <v>0.04</v>
      </c>
      <c r="L958" t="s">
        <v>31</v>
      </c>
      <c r="M958" t="s">
        <v>19</v>
      </c>
      <c r="N958" t="s">
        <v>37</v>
      </c>
      <c r="O958" t="str">
        <f t="shared" si="42"/>
        <v>December</v>
      </c>
      <c r="P958">
        <f t="shared" si="43"/>
        <v>12</v>
      </c>
      <c r="Q958">
        <f t="shared" si="44"/>
        <v>2023</v>
      </c>
    </row>
    <row r="959" spans="1:17" x14ac:dyDescent="0.25">
      <c r="A959">
        <v>1079</v>
      </c>
      <c r="B959" s="1">
        <v>45099</v>
      </c>
      <c r="C959" t="s">
        <v>38</v>
      </c>
      <c r="D959" t="s">
        <v>34</v>
      </c>
      <c r="E959" s="4">
        <v>2265.23</v>
      </c>
      <c r="F959" s="2">
        <v>49</v>
      </c>
      <c r="G959" t="s">
        <v>29</v>
      </c>
      <c r="H959">
        <v>437.59</v>
      </c>
      <c r="I959">
        <v>675.54</v>
      </c>
      <c r="J959" t="s">
        <v>17</v>
      </c>
      <c r="K959" s="5">
        <v>0.1</v>
      </c>
      <c r="L959" t="s">
        <v>18</v>
      </c>
      <c r="M959" t="s">
        <v>19</v>
      </c>
      <c r="N959" t="s">
        <v>48</v>
      </c>
      <c r="O959" t="str">
        <f t="shared" si="42"/>
        <v>June</v>
      </c>
      <c r="P959">
        <f t="shared" si="43"/>
        <v>6</v>
      </c>
      <c r="Q959">
        <f t="shared" si="44"/>
        <v>2023</v>
      </c>
    </row>
    <row r="960" spans="1:17" x14ac:dyDescent="0.25">
      <c r="A960">
        <v>1047</v>
      </c>
      <c r="B960" s="1">
        <v>45147</v>
      </c>
      <c r="C960" t="s">
        <v>24</v>
      </c>
      <c r="D960" t="s">
        <v>15</v>
      </c>
      <c r="E960" s="4">
        <v>1910.09</v>
      </c>
      <c r="F960" s="2">
        <v>41</v>
      </c>
      <c r="G960" t="s">
        <v>29</v>
      </c>
      <c r="H960">
        <v>2888.49</v>
      </c>
      <c r="I960">
        <v>2929.45</v>
      </c>
      <c r="J960" t="s">
        <v>30</v>
      </c>
      <c r="K960" s="5">
        <v>0.06</v>
      </c>
      <c r="L960" t="s">
        <v>18</v>
      </c>
      <c r="M960" t="s">
        <v>22</v>
      </c>
      <c r="N960" t="s">
        <v>45</v>
      </c>
      <c r="O960" t="str">
        <f t="shared" si="42"/>
        <v>August</v>
      </c>
      <c r="P960">
        <f t="shared" si="43"/>
        <v>8</v>
      </c>
      <c r="Q960">
        <f t="shared" si="44"/>
        <v>2023</v>
      </c>
    </row>
    <row r="961" spans="1:17" x14ac:dyDescent="0.25">
      <c r="A961">
        <v>1056</v>
      </c>
      <c r="B961" s="1">
        <v>45045</v>
      </c>
      <c r="C961" t="s">
        <v>33</v>
      </c>
      <c r="D961" t="s">
        <v>15</v>
      </c>
      <c r="E961" s="4">
        <v>8274.5400000000009</v>
      </c>
      <c r="F961" s="2">
        <v>10</v>
      </c>
      <c r="G961" t="s">
        <v>29</v>
      </c>
      <c r="H961">
        <v>536.80999999999995</v>
      </c>
      <c r="I961">
        <v>839.92</v>
      </c>
      <c r="J961" t="s">
        <v>17</v>
      </c>
      <c r="K961" s="5">
        <v>0.15</v>
      </c>
      <c r="L961" t="s">
        <v>27</v>
      </c>
      <c r="M961" t="s">
        <v>19</v>
      </c>
      <c r="N961" t="s">
        <v>53</v>
      </c>
      <c r="O961" t="str">
        <f t="shared" si="42"/>
        <v>April</v>
      </c>
      <c r="P961">
        <f t="shared" si="43"/>
        <v>4</v>
      </c>
      <c r="Q961">
        <f t="shared" si="44"/>
        <v>2023</v>
      </c>
    </row>
    <row r="962" spans="1:17" x14ac:dyDescent="0.25">
      <c r="A962">
        <v>1086</v>
      </c>
      <c r="B962" s="1">
        <v>45235</v>
      </c>
      <c r="C962" t="s">
        <v>42</v>
      </c>
      <c r="D962" t="s">
        <v>25</v>
      </c>
      <c r="E962" s="4">
        <v>2928.5</v>
      </c>
      <c r="F962" s="2">
        <v>10</v>
      </c>
      <c r="G962" t="s">
        <v>16</v>
      </c>
      <c r="H962">
        <v>2273.91</v>
      </c>
      <c r="I962">
        <v>2578.7999999999902</v>
      </c>
      <c r="J962" t="s">
        <v>30</v>
      </c>
      <c r="K962" s="5">
        <v>0.14000000000000001</v>
      </c>
      <c r="L962" t="s">
        <v>18</v>
      </c>
      <c r="M962" t="s">
        <v>19</v>
      </c>
      <c r="N962" t="s">
        <v>43</v>
      </c>
      <c r="O962" t="str">
        <f t="shared" ref="O962:O1001" si="45">TEXT(B962,"mmmm")</f>
        <v>November</v>
      </c>
      <c r="P962">
        <f t="shared" ref="P962:P1001" si="46">MONTH(B962)</f>
        <v>11</v>
      </c>
      <c r="Q962">
        <f t="shared" ref="Q962:Q1001" si="47">YEAR(B962)</f>
        <v>2023</v>
      </c>
    </row>
    <row r="963" spans="1:17" x14ac:dyDescent="0.25">
      <c r="A963">
        <v>1014</v>
      </c>
      <c r="B963" s="1">
        <v>45109</v>
      </c>
      <c r="C963" t="s">
        <v>24</v>
      </c>
      <c r="D963" t="s">
        <v>34</v>
      </c>
      <c r="E963" s="4">
        <v>9278.5300000000007</v>
      </c>
      <c r="F963" s="2">
        <v>7</v>
      </c>
      <c r="G963" t="s">
        <v>29</v>
      </c>
      <c r="H963">
        <v>4705.46</v>
      </c>
      <c r="I963">
        <v>4747.07</v>
      </c>
      <c r="J963" t="s">
        <v>30</v>
      </c>
      <c r="K963" s="5">
        <v>0.27</v>
      </c>
      <c r="L963" t="s">
        <v>27</v>
      </c>
      <c r="M963" t="s">
        <v>22</v>
      </c>
      <c r="N963" t="s">
        <v>50</v>
      </c>
      <c r="O963" t="str">
        <f t="shared" si="45"/>
        <v>July</v>
      </c>
      <c r="P963">
        <f t="shared" si="46"/>
        <v>7</v>
      </c>
      <c r="Q963">
        <f t="shared" si="47"/>
        <v>2023</v>
      </c>
    </row>
    <row r="964" spans="1:17" x14ac:dyDescent="0.25">
      <c r="A964">
        <v>1090</v>
      </c>
      <c r="B964" s="1">
        <v>45214</v>
      </c>
      <c r="C964" t="s">
        <v>33</v>
      </c>
      <c r="D964" t="s">
        <v>25</v>
      </c>
      <c r="E964" s="4">
        <v>9702.27</v>
      </c>
      <c r="F964" s="2">
        <v>48</v>
      </c>
      <c r="G964" t="s">
        <v>35</v>
      </c>
      <c r="H964">
        <v>4766.53</v>
      </c>
      <c r="I964">
        <v>5253.07</v>
      </c>
      <c r="J964" t="s">
        <v>17</v>
      </c>
      <c r="K964" s="5">
        <v>0.01</v>
      </c>
      <c r="L964" t="s">
        <v>27</v>
      </c>
      <c r="M964" t="s">
        <v>19</v>
      </c>
      <c r="N964" t="s">
        <v>44</v>
      </c>
      <c r="O964" t="str">
        <f t="shared" si="45"/>
        <v>October</v>
      </c>
      <c r="P964">
        <f t="shared" si="46"/>
        <v>10</v>
      </c>
      <c r="Q964">
        <f t="shared" si="47"/>
        <v>2023</v>
      </c>
    </row>
    <row r="965" spans="1:17" x14ac:dyDescent="0.25">
      <c r="A965">
        <v>1028</v>
      </c>
      <c r="B965" s="1">
        <v>45233</v>
      </c>
      <c r="C965" t="s">
        <v>42</v>
      </c>
      <c r="D965" t="s">
        <v>15</v>
      </c>
      <c r="E965" s="4">
        <v>5755.48</v>
      </c>
      <c r="F965" s="2">
        <v>38</v>
      </c>
      <c r="G965" t="s">
        <v>29</v>
      </c>
      <c r="H965">
        <v>1234.69</v>
      </c>
      <c r="I965">
        <v>1511.26</v>
      </c>
      <c r="J965" t="s">
        <v>30</v>
      </c>
      <c r="K965" s="5">
        <v>0.1</v>
      </c>
      <c r="L965" t="s">
        <v>27</v>
      </c>
      <c r="M965" t="s">
        <v>19</v>
      </c>
      <c r="N965" t="s">
        <v>49</v>
      </c>
      <c r="O965" t="str">
        <f t="shared" si="45"/>
        <v>November</v>
      </c>
      <c r="P965">
        <f t="shared" si="46"/>
        <v>11</v>
      </c>
      <c r="Q965">
        <f t="shared" si="47"/>
        <v>2023</v>
      </c>
    </row>
    <row r="966" spans="1:17" x14ac:dyDescent="0.25">
      <c r="A966">
        <v>1087</v>
      </c>
      <c r="B966" s="1">
        <v>45226</v>
      </c>
      <c r="C966" t="s">
        <v>38</v>
      </c>
      <c r="D966" t="s">
        <v>15</v>
      </c>
      <c r="E966" s="4">
        <v>1515.71</v>
      </c>
      <c r="F966" s="2">
        <v>27</v>
      </c>
      <c r="G966" t="s">
        <v>26</v>
      </c>
      <c r="H966">
        <v>3139.36</v>
      </c>
      <c r="I966">
        <v>3423.66</v>
      </c>
      <c r="J966" t="s">
        <v>30</v>
      </c>
      <c r="K966" s="5">
        <v>0.18</v>
      </c>
      <c r="L966" t="s">
        <v>31</v>
      </c>
      <c r="M966" t="s">
        <v>19</v>
      </c>
      <c r="N966" t="s">
        <v>40</v>
      </c>
      <c r="O966" t="str">
        <f t="shared" si="45"/>
        <v>October</v>
      </c>
      <c r="P966">
        <f t="shared" si="46"/>
        <v>10</v>
      </c>
      <c r="Q966">
        <f t="shared" si="47"/>
        <v>2023</v>
      </c>
    </row>
    <row r="967" spans="1:17" x14ac:dyDescent="0.25">
      <c r="A967">
        <v>1078</v>
      </c>
      <c r="B967" s="1">
        <v>45008</v>
      </c>
      <c r="C967" t="s">
        <v>38</v>
      </c>
      <c r="D967" t="s">
        <v>21</v>
      </c>
      <c r="E967" s="4">
        <v>3808.03</v>
      </c>
      <c r="F967" s="2">
        <v>33</v>
      </c>
      <c r="G967" t="s">
        <v>29</v>
      </c>
      <c r="H967">
        <v>2396.6799999999998</v>
      </c>
      <c r="I967">
        <v>2661.54</v>
      </c>
      <c r="J967" t="s">
        <v>30</v>
      </c>
      <c r="K967" s="5">
        <v>0.18</v>
      </c>
      <c r="L967" t="s">
        <v>27</v>
      </c>
      <c r="M967" t="s">
        <v>19</v>
      </c>
      <c r="N967" t="s">
        <v>41</v>
      </c>
      <c r="O967" t="str">
        <f t="shared" si="45"/>
        <v>March</v>
      </c>
      <c r="P967">
        <f t="shared" si="46"/>
        <v>3</v>
      </c>
      <c r="Q967">
        <f t="shared" si="47"/>
        <v>2023</v>
      </c>
    </row>
    <row r="968" spans="1:17" x14ac:dyDescent="0.25">
      <c r="A968">
        <v>1088</v>
      </c>
      <c r="B968" s="1">
        <v>45137</v>
      </c>
      <c r="C968" t="s">
        <v>38</v>
      </c>
      <c r="D968" t="s">
        <v>34</v>
      </c>
      <c r="E968" s="4">
        <v>7997.55</v>
      </c>
      <c r="F968" s="2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 s="5">
        <v>0.14000000000000001</v>
      </c>
      <c r="L968" t="s">
        <v>18</v>
      </c>
      <c r="M968" t="s">
        <v>22</v>
      </c>
      <c r="N968" t="s">
        <v>48</v>
      </c>
      <c r="O968" t="str">
        <f t="shared" si="45"/>
        <v>July</v>
      </c>
      <c r="P968">
        <f t="shared" si="46"/>
        <v>7</v>
      </c>
      <c r="Q968">
        <f t="shared" si="47"/>
        <v>2023</v>
      </c>
    </row>
    <row r="969" spans="1:17" x14ac:dyDescent="0.25">
      <c r="A969">
        <v>1002</v>
      </c>
      <c r="B969" s="1">
        <v>45076</v>
      </c>
      <c r="C969" t="s">
        <v>38</v>
      </c>
      <c r="D969" t="s">
        <v>15</v>
      </c>
      <c r="E969" s="4">
        <v>3737.17</v>
      </c>
      <c r="F969" s="2">
        <v>44</v>
      </c>
      <c r="G969" t="s">
        <v>16</v>
      </c>
      <c r="H969">
        <v>1393.58</v>
      </c>
      <c r="I969">
        <v>1533.09</v>
      </c>
      <c r="J969" t="s">
        <v>17</v>
      </c>
      <c r="K969" s="5">
        <v>0.24</v>
      </c>
      <c r="L969" t="s">
        <v>31</v>
      </c>
      <c r="M969" t="s">
        <v>22</v>
      </c>
      <c r="N969" t="s">
        <v>40</v>
      </c>
      <c r="O969" t="str">
        <f t="shared" si="45"/>
        <v>May</v>
      </c>
      <c r="P969">
        <f t="shared" si="46"/>
        <v>5</v>
      </c>
      <c r="Q969">
        <f t="shared" si="47"/>
        <v>2023</v>
      </c>
    </row>
    <row r="970" spans="1:17" x14ac:dyDescent="0.25">
      <c r="A970">
        <v>1026</v>
      </c>
      <c r="B970" s="1">
        <v>44963</v>
      </c>
      <c r="C970" t="s">
        <v>14</v>
      </c>
      <c r="D970" t="s">
        <v>21</v>
      </c>
      <c r="E970" s="4">
        <v>961.47</v>
      </c>
      <c r="F970" s="2">
        <v>34</v>
      </c>
      <c r="G970" t="s">
        <v>35</v>
      </c>
      <c r="H970">
        <v>68.33</v>
      </c>
      <c r="I970">
        <v>219.07999999999899</v>
      </c>
      <c r="J970" t="s">
        <v>30</v>
      </c>
      <c r="K970" s="5">
        <v>0.02</v>
      </c>
      <c r="L970" t="s">
        <v>31</v>
      </c>
      <c r="M970" t="s">
        <v>19</v>
      </c>
      <c r="N970" t="s">
        <v>23</v>
      </c>
      <c r="O970" t="str">
        <f t="shared" si="45"/>
        <v>February</v>
      </c>
      <c r="P970">
        <f t="shared" si="46"/>
        <v>2</v>
      </c>
      <c r="Q970">
        <f t="shared" si="47"/>
        <v>2023</v>
      </c>
    </row>
    <row r="971" spans="1:17" x14ac:dyDescent="0.25">
      <c r="A971">
        <v>1014</v>
      </c>
      <c r="B971" s="1">
        <v>45278</v>
      </c>
      <c r="C971" t="s">
        <v>24</v>
      </c>
      <c r="D971" t="s">
        <v>34</v>
      </c>
      <c r="E971" s="4">
        <v>5612.17</v>
      </c>
      <c r="F971" s="2">
        <v>4</v>
      </c>
      <c r="G971" t="s">
        <v>16</v>
      </c>
      <c r="H971">
        <v>854.68</v>
      </c>
      <c r="I971">
        <v>1115.24</v>
      </c>
      <c r="J971" t="s">
        <v>30</v>
      </c>
      <c r="K971" s="5">
        <v>0.24</v>
      </c>
      <c r="L971" t="s">
        <v>31</v>
      </c>
      <c r="M971" t="s">
        <v>22</v>
      </c>
      <c r="N971" t="s">
        <v>50</v>
      </c>
      <c r="O971" t="str">
        <f t="shared" si="45"/>
        <v>December</v>
      </c>
      <c r="P971">
        <f t="shared" si="46"/>
        <v>12</v>
      </c>
      <c r="Q971">
        <f t="shared" si="47"/>
        <v>2023</v>
      </c>
    </row>
    <row r="972" spans="1:17" x14ac:dyDescent="0.25">
      <c r="A972">
        <v>1059</v>
      </c>
      <c r="B972" s="1">
        <v>45238</v>
      </c>
      <c r="C972" t="s">
        <v>24</v>
      </c>
      <c r="D972" t="s">
        <v>25</v>
      </c>
      <c r="E972" s="4">
        <v>8466.7000000000007</v>
      </c>
      <c r="F972" s="2">
        <v>17</v>
      </c>
      <c r="G972" t="s">
        <v>29</v>
      </c>
      <c r="H972">
        <v>1780.14</v>
      </c>
      <c r="I972">
        <v>2185.42</v>
      </c>
      <c r="J972" t="s">
        <v>17</v>
      </c>
      <c r="K972" s="5">
        <v>0.15</v>
      </c>
      <c r="L972" t="s">
        <v>31</v>
      </c>
      <c r="M972" t="s">
        <v>22</v>
      </c>
      <c r="N972" t="s">
        <v>28</v>
      </c>
      <c r="O972" t="str">
        <f t="shared" si="45"/>
        <v>November</v>
      </c>
      <c r="P972">
        <f t="shared" si="46"/>
        <v>11</v>
      </c>
      <c r="Q972">
        <f t="shared" si="47"/>
        <v>2023</v>
      </c>
    </row>
    <row r="973" spans="1:17" x14ac:dyDescent="0.25">
      <c r="A973">
        <v>1056</v>
      </c>
      <c r="B973" s="1">
        <v>45287</v>
      </c>
      <c r="C973" t="s">
        <v>14</v>
      </c>
      <c r="D973" t="s">
        <v>34</v>
      </c>
      <c r="E973" s="4">
        <v>7979.67</v>
      </c>
      <c r="F973" s="2">
        <v>4</v>
      </c>
      <c r="G973" t="s">
        <v>26</v>
      </c>
      <c r="H973">
        <v>1612.82</v>
      </c>
      <c r="I973">
        <v>1647.25</v>
      </c>
      <c r="J973" t="s">
        <v>17</v>
      </c>
      <c r="K973" s="5">
        <v>0.04</v>
      </c>
      <c r="L973" t="s">
        <v>31</v>
      </c>
      <c r="M973" t="s">
        <v>22</v>
      </c>
      <c r="N973" t="s">
        <v>46</v>
      </c>
      <c r="O973" t="str">
        <f t="shared" si="45"/>
        <v>December</v>
      </c>
      <c r="P973">
        <f t="shared" si="46"/>
        <v>12</v>
      </c>
      <c r="Q973">
        <f t="shared" si="47"/>
        <v>2023</v>
      </c>
    </row>
    <row r="974" spans="1:17" x14ac:dyDescent="0.25">
      <c r="A974">
        <v>1007</v>
      </c>
      <c r="B974" s="1">
        <v>44985</v>
      </c>
      <c r="C974" t="s">
        <v>33</v>
      </c>
      <c r="D974" t="s">
        <v>34</v>
      </c>
      <c r="E974" s="4">
        <v>1833.72</v>
      </c>
      <c r="F974" s="2">
        <v>43</v>
      </c>
      <c r="G974" t="s">
        <v>16</v>
      </c>
      <c r="H974">
        <v>3967.25</v>
      </c>
      <c r="I974">
        <v>4272.92</v>
      </c>
      <c r="J974" t="s">
        <v>30</v>
      </c>
      <c r="K974" s="5">
        <v>0.27</v>
      </c>
      <c r="L974" t="s">
        <v>31</v>
      </c>
      <c r="M974" t="s">
        <v>19</v>
      </c>
      <c r="N974" t="s">
        <v>36</v>
      </c>
      <c r="O974" t="str">
        <f t="shared" si="45"/>
        <v>February</v>
      </c>
      <c r="P974">
        <f t="shared" si="46"/>
        <v>2</v>
      </c>
      <c r="Q974">
        <f t="shared" si="47"/>
        <v>2023</v>
      </c>
    </row>
    <row r="975" spans="1:17" x14ac:dyDescent="0.25">
      <c r="A975">
        <v>1003</v>
      </c>
      <c r="B975" s="1">
        <v>45057</v>
      </c>
      <c r="C975" t="s">
        <v>33</v>
      </c>
      <c r="D975" t="s">
        <v>15</v>
      </c>
      <c r="E975" s="4">
        <v>6760.37</v>
      </c>
      <c r="F975" s="2">
        <v>26</v>
      </c>
      <c r="G975" t="s">
        <v>35</v>
      </c>
      <c r="H975">
        <v>3418.78</v>
      </c>
      <c r="I975">
        <v>3824.1</v>
      </c>
      <c r="J975" t="s">
        <v>30</v>
      </c>
      <c r="K975" s="5">
        <v>0.19</v>
      </c>
      <c r="L975" t="s">
        <v>31</v>
      </c>
      <c r="M975" t="s">
        <v>19</v>
      </c>
      <c r="N975" t="s">
        <v>53</v>
      </c>
      <c r="O975" t="str">
        <f t="shared" si="45"/>
        <v>May</v>
      </c>
      <c r="P975">
        <f t="shared" si="46"/>
        <v>5</v>
      </c>
      <c r="Q975">
        <f t="shared" si="47"/>
        <v>2023</v>
      </c>
    </row>
    <row r="976" spans="1:17" x14ac:dyDescent="0.25">
      <c r="A976">
        <v>1023</v>
      </c>
      <c r="B976" s="1">
        <v>45128</v>
      </c>
      <c r="C976" t="s">
        <v>38</v>
      </c>
      <c r="D976" t="s">
        <v>15</v>
      </c>
      <c r="E976" s="4">
        <v>2282.9899999999998</v>
      </c>
      <c r="F976" s="2">
        <v>4</v>
      </c>
      <c r="G976" t="s">
        <v>29</v>
      </c>
      <c r="H976">
        <v>1532.8</v>
      </c>
      <c r="I976">
        <v>1619.69</v>
      </c>
      <c r="J976" t="s">
        <v>17</v>
      </c>
      <c r="K976" s="5">
        <v>0.05</v>
      </c>
      <c r="L976" t="s">
        <v>27</v>
      </c>
      <c r="M976" t="s">
        <v>22</v>
      </c>
      <c r="N976" t="s">
        <v>40</v>
      </c>
      <c r="O976" t="str">
        <f t="shared" si="45"/>
        <v>July</v>
      </c>
      <c r="P976">
        <f t="shared" si="46"/>
        <v>7</v>
      </c>
      <c r="Q976">
        <f t="shared" si="47"/>
        <v>2023</v>
      </c>
    </row>
    <row r="977" spans="1:17" x14ac:dyDescent="0.25">
      <c r="A977">
        <v>1018</v>
      </c>
      <c r="B977" s="1">
        <v>45169</v>
      </c>
      <c r="C977" t="s">
        <v>42</v>
      </c>
      <c r="D977" t="s">
        <v>34</v>
      </c>
      <c r="E977" s="4">
        <v>2260.25</v>
      </c>
      <c r="F977" s="2">
        <v>1</v>
      </c>
      <c r="G977" t="s">
        <v>35</v>
      </c>
      <c r="H977">
        <v>2315.83</v>
      </c>
      <c r="I977">
        <v>2333.19</v>
      </c>
      <c r="J977" t="s">
        <v>30</v>
      </c>
      <c r="K977" s="5">
        <v>0.01</v>
      </c>
      <c r="L977" t="s">
        <v>18</v>
      </c>
      <c r="M977" t="s">
        <v>22</v>
      </c>
      <c r="N977" t="s">
        <v>52</v>
      </c>
      <c r="O977" t="str">
        <f t="shared" si="45"/>
        <v>August</v>
      </c>
      <c r="P977">
        <f t="shared" si="46"/>
        <v>8</v>
      </c>
      <c r="Q977">
        <f t="shared" si="47"/>
        <v>2023</v>
      </c>
    </row>
    <row r="978" spans="1:17" x14ac:dyDescent="0.25">
      <c r="A978">
        <v>1038</v>
      </c>
      <c r="B978" s="1">
        <v>44961</v>
      </c>
      <c r="C978" t="s">
        <v>33</v>
      </c>
      <c r="D978" t="s">
        <v>15</v>
      </c>
      <c r="E978" s="4">
        <v>8753.31</v>
      </c>
      <c r="F978" s="2">
        <v>7</v>
      </c>
      <c r="G978" t="s">
        <v>16</v>
      </c>
      <c r="H978">
        <v>523.02</v>
      </c>
      <c r="I978">
        <v>686.25</v>
      </c>
      <c r="J978" t="s">
        <v>17</v>
      </c>
      <c r="K978" s="5">
        <v>0.04</v>
      </c>
      <c r="L978" t="s">
        <v>18</v>
      </c>
      <c r="M978" t="s">
        <v>19</v>
      </c>
      <c r="N978" t="s">
        <v>53</v>
      </c>
      <c r="O978" t="str">
        <f t="shared" si="45"/>
        <v>February</v>
      </c>
      <c r="P978">
        <f t="shared" si="46"/>
        <v>2</v>
      </c>
      <c r="Q978">
        <f t="shared" si="47"/>
        <v>2023</v>
      </c>
    </row>
    <row r="979" spans="1:17" x14ac:dyDescent="0.25">
      <c r="A979">
        <v>1099</v>
      </c>
      <c r="B979" s="1">
        <v>45019</v>
      </c>
      <c r="C979" t="s">
        <v>42</v>
      </c>
      <c r="D979" t="s">
        <v>15</v>
      </c>
      <c r="E979" s="4">
        <v>2571.7199999999998</v>
      </c>
      <c r="F979" s="2">
        <v>30</v>
      </c>
      <c r="G979" t="s">
        <v>16</v>
      </c>
      <c r="H979">
        <v>4495.82</v>
      </c>
      <c r="I979">
        <v>4794.0099999999902</v>
      </c>
      <c r="J979" t="s">
        <v>30</v>
      </c>
      <c r="K979" s="5">
        <v>0.18</v>
      </c>
      <c r="L979" t="s">
        <v>27</v>
      </c>
      <c r="M979" t="s">
        <v>22</v>
      </c>
      <c r="N979" t="s">
        <v>49</v>
      </c>
      <c r="O979" t="str">
        <f t="shared" si="45"/>
        <v>April</v>
      </c>
      <c r="P979">
        <f t="shared" si="46"/>
        <v>4</v>
      </c>
      <c r="Q979">
        <f t="shared" si="47"/>
        <v>2023</v>
      </c>
    </row>
    <row r="980" spans="1:17" x14ac:dyDescent="0.25">
      <c r="A980">
        <v>1015</v>
      </c>
      <c r="B980" s="1">
        <v>45133</v>
      </c>
      <c r="C980" t="s">
        <v>24</v>
      </c>
      <c r="D980" t="s">
        <v>15</v>
      </c>
      <c r="E980" s="4">
        <v>2706.15</v>
      </c>
      <c r="F980" s="2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 s="5">
        <v>0.05</v>
      </c>
      <c r="L980" t="s">
        <v>27</v>
      </c>
      <c r="M980" t="s">
        <v>19</v>
      </c>
      <c r="N980" t="s">
        <v>45</v>
      </c>
      <c r="O980" t="str">
        <f t="shared" si="45"/>
        <v>July</v>
      </c>
      <c r="P980">
        <f t="shared" si="46"/>
        <v>7</v>
      </c>
      <c r="Q980">
        <f t="shared" si="47"/>
        <v>2023</v>
      </c>
    </row>
    <row r="981" spans="1:17" x14ac:dyDescent="0.25">
      <c r="A981">
        <v>1064</v>
      </c>
      <c r="B981" s="1">
        <v>45279</v>
      </c>
      <c r="C981" t="s">
        <v>42</v>
      </c>
      <c r="D981" t="s">
        <v>21</v>
      </c>
      <c r="E981" s="4">
        <v>106.47</v>
      </c>
      <c r="F981" s="2">
        <v>35</v>
      </c>
      <c r="G981" t="s">
        <v>29</v>
      </c>
      <c r="H981">
        <v>4900.03</v>
      </c>
      <c r="I981">
        <v>5118.83</v>
      </c>
      <c r="J981" t="s">
        <v>17</v>
      </c>
      <c r="K981" s="5">
        <v>7.0000000000000007E-2</v>
      </c>
      <c r="L981" t="s">
        <v>31</v>
      </c>
      <c r="M981" t="s">
        <v>22</v>
      </c>
      <c r="N981" t="s">
        <v>51</v>
      </c>
      <c r="O981" t="str">
        <f t="shared" si="45"/>
        <v>December</v>
      </c>
      <c r="P981">
        <f t="shared" si="46"/>
        <v>12</v>
      </c>
      <c r="Q981">
        <f t="shared" si="47"/>
        <v>2023</v>
      </c>
    </row>
    <row r="982" spans="1:17" x14ac:dyDescent="0.25">
      <c r="A982">
        <v>1089</v>
      </c>
      <c r="B982" s="1">
        <v>45258</v>
      </c>
      <c r="C982" t="s">
        <v>24</v>
      </c>
      <c r="D982" t="s">
        <v>21</v>
      </c>
      <c r="E982" s="4">
        <v>8719.6200000000008</v>
      </c>
      <c r="F982" s="2">
        <v>8</v>
      </c>
      <c r="G982" t="s">
        <v>16</v>
      </c>
      <c r="H982">
        <v>4349.34</v>
      </c>
      <c r="I982">
        <v>4629.9799999999996</v>
      </c>
      <c r="J982" t="s">
        <v>17</v>
      </c>
      <c r="K982" s="5">
        <v>0.01</v>
      </c>
      <c r="L982" t="s">
        <v>31</v>
      </c>
      <c r="M982" t="s">
        <v>19</v>
      </c>
      <c r="N982" t="s">
        <v>47</v>
      </c>
      <c r="O982" t="str">
        <f t="shared" si="45"/>
        <v>November</v>
      </c>
      <c r="P982">
        <f t="shared" si="46"/>
        <v>11</v>
      </c>
      <c r="Q982">
        <f t="shared" si="47"/>
        <v>2023</v>
      </c>
    </row>
    <row r="983" spans="1:17" x14ac:dyDescent="0.25">
      <c r="A983">
        <v>1028</v>
      </c>
      <c r="B983" s="1">
        <v>45231</v>
      </c>
      <c r="C983" t="s">
        <v>14</v>
      </c>
      <c r="D983" t="s">
        <v>34</v>
      </c>
      <c r="E983" s="4">
        <v>7946.69</v>
      </c>
      <c r="F983" s="2">
        <v>24</v>
      </c>
      <c r="G983" t="s">
        <v>26</v>
      </c>
      <c r="H983">
        <v>911.11</v>
      </c>
      <c r="I983">
        <v>1214.56</v>
      </c>
      <c r="J983" t="s">
        <v>30</v>
      </c>
      <c r="K983" s="5">
        <v>0.22</v>
      </c>
      <c r="L983" t="s">
        <v>27</v>
      </c>
      <c r="M983" t="s">
        <v>19</v>
      </c>
      <c r="N983" t="s">
        <v>46</v>
      </c>
      <c r="O983" t="str">
        <f t="shared" si="45"/>
        <v>November</v>
      </c>
      <c r="P983">
        <f t="shared" si="46"/>
        <v>11</v>
      </c>
      <c r="Q983">
        <f t="shared" si="47"/>
        <v>2023</v>
      </c>
    </row>
    <row r="984" spans="1:17" x14ac:dyDescent="0.25">
      <c r="A984">
        <v>1074</v>
      </c>
      <c r="B984" s="1">
        <v>45276</v>
      </c>
      <c r="C984" t="s">
        <v>14</v>
      </c>
      <c r="D984" t="s">
        <v>15</v>
      </c>
      <c r="E984" s="4">
        <v>6310.56</v>
      </c>
      <c r="F984" s="2">
        <v>19</v>
      </c>
      <c r="G984" t="s">
        <v>16</v>
      </c>
      <c r="H984">
        <v>278.67</v>
      </c>
      <c r="I984">
        <v>423.13</v>
      </c>
      <c r="J984" t="s">
        <v>30</v>
      </c>
      <c r="K984" s="5">
        <v>0.24</v>
      </c>
      <c r="L984" t="s">
        <v>31</v>
      </c>
      <c r="M984" t="s">
        <v>19</v>
      </c>
      <c r="N984" t="s">
        <v>20</v>
      </c>
      <c r="O984" t="str">
        <f t="shared" si="45"/>
        <v>December</v>
      </c>
      <c r="P984">
        <f t="shared" si="46"/>
        <v>12</v>
      </c>
      <c r="Q984">
        <f t="shared" si="47"/>
        <v>2023</v>
      </c>
    </row>
    <row r="985" spans="1:17" x14ac:dyDescent="0.25">
      <c r="A985">
        <v>1039</v>
      </c>
      <c r="B985" s="1">
        <v>45139</v>
      </c>
      <c r="C985" t="s">
        <v>38</v>
      </c>
      <c r="D985" t="s">
        <v>21</v>
      </c>
      <c r="E985" s="4">
        <v>7527.63</v>
      </c>
      <c r="F985" s="2">
        <v>36</v>
      </c>
      <c r="G985" t="s">
        <v>29</v>
      </c>
      <c r="H985">
        <v>2919</v>
      </c>
      <c r="I985">
        <v>3125.01</v>
      </c>
      <c r="J985" t="s">
        <v>30</v>
      </c>
      <c r="K985" s="5">
        <v>0.24</v>
      </c>
      <c r="L985" t="s">
        <v>18</v>
      </c>
      <c r="M985" t="s">
        <v>19</v>
      </c>
      <c r="N985" t="s">
        <v>41</v>
      </c>
      <c r="O985" t="str">
        <f t="shared" si="45"/>
        <v>August</v>
      </c>
      <c r="P985">
        <f t="shared" si="46"/>
        <v>8</v>
      </c>
      <c r="Q985">
        <f t="shared" si="47"/>
        <v>2023</v>
      </c>
    </row>
    <row r="986" spans="1:17" x14ac:dyDescent="0.25">
      <c r="A986">
        <v>1057</v>
      </c>
      <c r="B986" s="1">
        <v>45085</v>
      </c>
      <c r="C986" t="s">
        <v>33</v>
      </c>
      <c r="D986" t="s">
        <v>34</v>
      </c>
      <c r="E986" s="4">
        <v>1605.28</v>
      </c>
      <c r="F986" s="2">
        <v>43</v>
      </c>
      <c r="G986" t="s">
        <v>16</v>
      </c>
      <c r="H986">
        <v>4567.3900000000003</v>
      </c>
      <c r="I986">
        <v>4958.78</v>
      </c>
      <c r="J986" t="s">
        <v>30</v>
      </c>
      <c r="K986" s="5">
        <v>0.04</v>
      </c>
      <c r="L986" t="s">
        <v>18</v>
      </c>
      <c r="M986" t="s">
        <v>22</v>
      </c>
      <c r="N986" t="s">
        <v>36</v>
      </c>
      <c r="O986" t="str">
        <f t="shared" si="45"/>
        <v>June</v>
      </c>
      <c r="P986">
        <f t="shared" si="46"/>
        <v>6</v>
      </c>
      <c r="Q986">
        <f t="shared" si="47"/>
        <v>2023</v>
      </c>
    </row>
    <row r="987" spans="1:17" x14ac:dyDescent="0.25">
      <c r="A987">
        <v>1017</v>
      </c>
      <c r="B987" s="1">
        <v>44950</v>
      </c>
      <c r="C987" t="s">
        <v>38</v>
      </c>
      <c r="D987" t="s">
        <v>15</v>
      </c>
      <c r="E987" s="4">
        <v>4637.3999999999996</v>
      </c>
      <c r="F987" s="2">
        <v>27</v>
      </c>
      <c r="G987" t="s">
        <v>35</v>
      </c>
      <c r="H987">
        <v>927.89</v>
      </c>
      <c r="I987">
        <v>1399.09</v>
      </c>
      <c r="J987" t="s">
        <v>17</v>
      </c>
      <c r="K987" s="5">
        <v>0.27</v>
      </c>
      <c r="L987" t="s">
        <v>31</v>
      </c>
      <c r="M987" t="s">
        <v>19</v>
      </c>
      <c r="N987" t="s">
        <v>40</v>
      </c>
      <c r="O987" t="str">
        <f t="shared" si="45"/>
        <v>January</v>
      </c>
      <c r="P987">
        <f t="shared" si="46"/>
        <v>1</v>
      </c>
      <c r="Q987">
        <f t="shared" si="47"/>
        <v>2023</v>
      </c>
    </row>
    <row r="988" spans="1:17" x14ac:dyDescent="0.25">
      <c r="A988">
        <v>1086</v>
      </c>
      <c r="B988" s="1">
        <v>45219</v>
      </c>
      <c r="C988" t="s">
        <v>24</v>
      </c>
      <c r="D988" t="s">
        <v>25</v>
      </c>
      <c r="E988" s="4">
        <v>3577.07</v>
      </c>
      <c r="F988" s="2">
        <v>32</v>
      </c>
      <c r="G988" t="s">
        <v>16</v>
      </c>
      <c r="H988">
        <v>84.86</v>
      </c>
      <c r="I988">
        <v>517.17999999999995</v>
      </c>
      <c r="J988" t="s">
        <v>17</v>
      </c>
      <c r="K988" s="5">
        <v>0.2</v>
      </c>
      <c r="L988" t="s">
        <v>31</v>
      </c>
      <c r="M988" t="s">
        <v>22</v>
      </c>
      <c r="N988" t="s">
        <v>28</v>
      </c>
      <c r="O988" t="str">
        <f t="shared" si="45"/>
        <v>October</v>
      </c>
      <c r="P988">
        <f t="shared" si="46"/>
        <v>10</v>
      </c>
      <c r="Q988">
        <f t="shared" si="47"/>
        <v>2023</v>
      </c>
    </row>
    <row r="989" spans="1:17" x14ac:dyDescent="0.25">
      <c r="A989">
        <v>1090</v>
      </c>
      <c r="B989" s="1">
        <v>44930</v>
      </c>
      <c r="C989" t="s">
        <v>38</v>
      </c>
      <c r="D989" t="s">
        <v>15</v>
      </c>
      <c r="E989" s="4">
        <v>1028.3900000000001</v>
      </c>
      <c r="F989" s="2">
        <v>14</v>
      </c>
      <c r="G989" t="s">
        <v>16</v>
      </c>
      <c r="H989">
        <v>4037.21</v>
      </c>
      <c r="I989">
        <v>4323.71</v>
      </c>
      <c r="J989" t="s">
        <v>17</v>
      </c>
      <c r="K989" s="5">
        <v>0.27</v>
      </c>
      <c r="L989" t="s">
        <v>31</v>
      </c>
      <c r="M989" t="s">
        <v>19</v>
      </c>
      <c r="N989" t="s">
        <v>40</v>
      </c>
      <c r="O989" t="str">
        <f t="shared" si="45"/>
        <v>January</v>
      </c>
      <c r="P989">
        <f t="shared" si="46"/>
        <v>1</v>
      </c>
      <c r="Q989">
        <f t="shared" si="47"/>
        <v>2023</v>
      </c>
    </row>
    <row r="990" spans="1:17" x14ac:dyDescent="0.25">
      <c r="A990">
        <v>1044</v>
      </c>
      <c r="B990" s="1">
        <v>45146</v>
      </c>
      <c r="C990" t="s">
        <v>42</v>
      </c>
      <c r="D990" t="s">
        <v>15</v>
      </c>
      <c r="E990" s="4">
        <v>4912.6899999999996</v>
      </c>
      <c r="F990" s="2">
        <v>18</v>
      </c>
      <c r="G990" t="s">
        <v>29</v>
      </c>
      <c r="H990">
        <v>430.14</v>
      </c>
      <c r="I990">
        <v>641.17999999999995</v>
      </c>
      <c r="J990" t="s">
        <v>30</v>
      </c>
      <c r="K990" s="5">
        <v>0.13</v>
      </c>
      <c r="L990" t="s">
        <v>18</v>
      </c>
      <c r="M990" t="s">
        <v>19</v>
      </c>
      <c r="N990" t="s">
        <v>49</v>
      </c>
      <c r="O990" t="str">
        <f t="shared" si="45"/>
        <v>August</v>
      </c>
      <c r="P990">
        <f t="shared" si="46"/>
        <v>8</v>
      </c>
      <c r="Q990">
        <f t="shared" si="47"/>
        <v>2023</v>
      </c>
    </row>
    <row r="991" spans="1:17" x14ac:dyDescent="0.25">
      <c r="A991">
        <v>1025</v>
      </c>
      <c r="B991" s="1">
        <v>45290</v>
      </c>
      <c r="C991" t="s">
        <v>24</v>
      </c>
      <c r="D991" t="s">
        <v>21</v>
      </c>
      <c r="E991" s="4">
        <v>9215.32</v>
      </c>
      <c r="F991" s="2">
        <v>28</v>
      </c>
      <c r="G991" t="s">
        <v>35</v>
      </c>
      <c r="H991">
        <v>2097.84</v>
      </c>
      <c r="I991">
        <v>2270.9899999999998</v>
      </c>
      <c r="J991" t="s">
        <v>30</v>
      </c>
      <c r="K991" s="5">
        <v>0.13</v>
      </c>
      <c r="L991" t="s">
        <v>31</v>
      </c>
      <c r="M991" t="s">
        <v>22</v>
      </c>
      <c r="N991" t="s">
        <v>47</v>
      </c>
      <c r="O991" t="str">
        <f t="shared" si="45"/>
        <v>December</v>
      </c>
      <c r="P991">
        <f t="shared" si="46"/>
        <v>12</v>
      </c>
      <c r="Q991">
        <f t="shared" si="47"/>
        <v>2023</v>
      </c>
    </row>
    <row r="992" spans="1:17" x14ac:dyDescent="0.25">
      <c r="A992">
        <v>1017</v>
      </c>
      <c r="B992" s="1">
        <v>44946</v>
      </c>
      <c r="C992" t="s">
        <v>14</v>
      </c>
      <c r="D992" t="s">
        <v>34</v>
      </c>
      <c r="E992" s="4">
        <v>496.59</v>
      </c>
      <c r="F992" s="2">
        <v>29</v>
      </c>
      <c r="G992" t="s">
        <v>29</v>
      </c>
      <c r="H992">
        <v>3410.49</v>
      </c>
      <c r="I992">
        <v>3481.72</v>
      </c>
      <c r="J992" t="s">
        <v>30</v>
      </c>
      <c r="K992" s="5">
        <v>0.24</v>
      </c>
      <c r="L992" t="s">
        <v>27</v>
      </c>
      <c r="M992" t="s">
        <v>22</v>
      </c>
      <c r="N992" t="s">
        <v>46</v>
      </c>
      <c r="O992" t="str">
        <f t="shared" si="45"/>
        <v>January</v>
      </c>
      <c r="P992">
        <f t="shared" si="46"/>
        <v>1</v>
      </c>
      <c r="Q992">
        <f t="shared" si="47"/>
        <v>2023</v>
      </c>
    </row>
    <row r="993" spans="1:17" x14ac:dyDescent="0.25">
      <c r="A993">
        <v>1013</v>
      </c>
      <c r="B993" s="1">
        <v>45078</v>
      </c>
      <c r="C993" t="s">
        <v>33</v>
      </c>
      <c r="D993" t="s">
        <v>34</v>
      </c>
      <c r="E993" s="4">
        <v>2985.46</v>
      </c>
      <c r="F993" s="2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 s="5">
        <v>0.03</v>
      </c>
      <c r="L993" t="s">
        <v>31</v>
      </c>
      <c r="M993" t="s">
        <v>22</v>
      </c>
      <c r="N993" t="s">
        <v>36</v>
      </c>
      <c r="O993" t="str">
        <f t="shared" si="45"/>
        <v>June</v>
      </c>
      <c r="P993">
        <f t="shared" si="46"/>
        <v>6</v>
      </c>
      <c r="Q993">
        <f t="shared" si="47"/>
        <v>2023</v>
      </c>
    </row>
    <row r="994" spans="1:17" x14ac:dyDescent="0.25">
      <c r="A994">
        <v>1084</v>
      </c>
      <c r="B994" s="1">
        <v>44976</v>
      </c>
      <c r="C994" t="s">
        <v>24</v>
      </c>
      <c r="D994" t="s">
        <v>21</v>
      </c>
      <c r="E994" s="4">
        <v>2154.66</v>
      </c>
      <c r="F994" s="2">
        <v>35</v>
      </c>
      <c r="G994" t="s">
        <v>26</v>
      </c>
      <c r="H994">
        <v>465.61</v>
      </c>
      <c r="I994">
        <v>812.91</v>
      </c>
      <c r="J994" t="s">
        <v>30</v>
      </c>
      <c r="K994" s="5">
        <v>0.16</v>
      </c>
      <c r="L994" t="s">
        <v>27</v>
      </c>
      <c r="M994" t="s">
        <v>19</v>
      </c>
      <c r="N994" t="s">
        <v>47</v>
      </c>
      <c r="O994" t="str">
        <f t="shared" si="45"/>
        <v>February</v>
      </c>
      <c r="P994">
        <f t="shared" si="46"/>
        <v>2</v>
      </c>
      <c r="Q994">
        <f t="shared" si="47"/>
        <v>2023</v>
      </c>
    </row>
    <row r="995" spans="1:17" x14ac:dyDescent="0.25">
      <c r="A995">
        <v>1025</v>
      </c>
      <c r="B995" s="1">
        <v>45103</v>
      </c>
      <c r="C995" t="s">
        <v>24</v>
      </c>
      <c r="D995" t="s">
        <v>15</v>
      </c>
      <c r="E995" s="4">
        <v>2457.65</v>
      </c>
      <c r="F995" s="2">
        <v>47</v>
      </c>
      <c r="G995" t="s">
        <v>16</v>
      </c>
      <c r="H995">
        <v>3861.61</v>
      </c>
      <c r="I995">
        <v>3998.91</v>
      </c>
      <c r="J995" t="s">
        <v>30</v>
      </c>
      <c r="K995" s="5">
        <v>0.25</v>
      </c>
      <c r="L995" t="s">
        <v>31</v>
      </c>
      <c r="M995" t="s">
        <v>19</v>
      </c>
      <c r="N995" t="s">
        <v>45</v>
      </c>
      <c r="O995" t="str">
        <f t="shared" si="45"/>
        <v>June</v>
      </c>
      <c r="P995">
        <f t="shared" si="46"/>
        <v>6</v>
      </c>
      <c r="Q995">
        <f t="shared" si="47"/>
        <v>2023</v>
      </c>
    </row>
    <row r="996" spans="1:17" x14ac:dyDescent="0.25">
      <c r="A996">
        <v>1068</v>
      </c>
      <c r="B996" s="1">
        <v>45022</v>
      </c>
      <c r="C996" t="s">
        <v>42</v>
      </c>
      <c r="D996" t="s">
        <v>25</v>
      </c>
      <c r="E996" s="4">
        <v>9093.5</v>
      </c>
      <c r="F996" s="2">
        <v>31</v>
      </c>
      <c r="G996" t="s">
        <v>29</v>
      </c>
      <c r="H996">
        <v>3169.37</v>
      </c>
      <c r="I996">
        <v>3304.15</v>
      </c>
      <c r="J996" t="s">
        <v>17</v>
      </c>
      <c r="K996" s="5">
        <v>0.25</v>
      </c>
      <c r="L996" t="s">
        <v>31</v>
      </c>
      <c r="M996" t="s">
        <v>22</v>
      </c>
      <c r="N996" t="s">
        <v>43</v>
      </c>
      <c r="O996" t="str">
        <f t="shared" si="45"/>
        <v>April</v>
      </c>
      <c r="P996">
        <f t="shared" si="46"/>
        <v>4</v>
      </c>
      <c r="Q996">
        <f t="shared" si="47"/>
        <v>2023</v>
      </c>
    </row>
    <row r="997" spans="1:17" x14ac:dyDescent="0.25">
      <c r="A997">
        <v>1010</v>
      </c>
      <c r="B997" s="1">
        <v>45031</v>
      </c>
      <c r="C997" t="s">
        <v>33</v>
      </c>
      <c r="D997" t="s">
        <v>15</v>
      </c>
      <c r="E997" s="4">
        <v>4733.88</v>
      </c>
      <c r="F997" s="2">
        <v>4</v>
      </c>
      <c r="G997" t="s">
        <v>26</v>
      </c>
      <c r="H997">
        <v>4943.03</v>
      </c>
      <c r="I997">
        <v>5442.15</v>
      </c>
      <c r="J997" t="s">
        <v>17</v>
      </c>
      <c r="K997" s="5">
        <v>0.28999999999999998</v>
      </c>
      <c r="L997" t="s">
        <v>18</v>
      </c>
      <c r="M997" t="s">
        <v>19</v>
      </c>
      <c r="N997" t="s">
        <v>53</v>
      </c>
      <c r="O997" t="str">
        <f t="shared" si="45"/>
        <v>April</v>
      </c>
      <c r="P997">
        <f t="shared" si="46"/>
        <v>4</v>
      </c>
      <c r="Q997">
        <f t="shared" si="47"/>
        <v>2023</v>
      </c>
    </row>
    <row r="998" spans="1:17" x14ac:dyDescent="0.25">
      <c r="A998">
        <v>1067</v>
      </c>
      <c r="B998" s="1">
        <v>45176</v>
      </c>
      <c r="C998" t="s">
        <v>14</v>
      </c>
      <c r="D998" t="s">
        <v>15</v>
      </c>
      <c r="E998" s="4">
        <v>4716.3599999999997</v>
      </c>
      <c r="F998" s="2">
        <v>37</v>
      </c>
      <c r="G998" t="s">
        <v>29</v>
      </c>
      <c r="H998">
        <v>1754.32</v>
      </c>
      <c r="I998">
        <v>1856.3999999999901</v>
      </c>
      <c r="J998" t="s">
        <v>30</v>
      </c>
      <c r="K998" s="5">
        <v>0.21</v>
      </c>
      <c r="L998" t="s">
        <v>27</v>
      </c>
      <c r="M998" t="s">
        <v>22</v>
      </c>
      <c r="N998" t="s">
        <v>20</v>
      </c>
      <c r="O998" t="str">
        <f t="shared" si="45"/>
        <v>September</v>
      </c>
      <c r="P998">
        <f t="shared" si="46"/>
        <v>9</v>
      </c>
      <c r="Q998">
        <f t="shared" si="47"/>
        <v>2023</v>
      </c>
    </row>
    <row r="999" spans="1:17" x14ac:dyDescent="0.25">
      <c r="A999">
        <v>1018</v>
      </c>
      <c r="B999" s="1">
        <v>45043</v>
      </c>
      <c r="C999" t="s">
        <v>24</v>
      </c>
      <c r="D999" t="s">
        <v>25</v>
      </c>
      <c r="E999" s="4">
        <v>7629.7</v>
      </c>
      <c r="F999" s="2">
        <v>17</v>
      </c>
      <c r="G999" t="s">
        <v>29</v>
      </c>
      <c r="H999">
        <v>355.72</v>
      </c>
      <c r="I999">
        <v>438.27</v>
      </c>
      <c r="J999" t="s">
        <v>17</v>
      </c>
      <c r="K999" s="5">
        <v>0.06</v>
      </c>
      <c r="L999" t="s">
        <v>27</v>
      </c>
      <c r="M999" t="s">
        <v>19</v>
      </c>
      <c r="N999" t="s">
        <v>28</v>
      </c>
      <c r="O999" t="str">
        <f t="shared" si="45"/>
        <v>April</v>
      </c>
      <c r="P999">
        <f t="shared" si="46"/>
        <v>4</v>
      </c>
      <c r="Q999">
        <f t="shared" si="47"/>
        <v>2023</v>
      </c>
    </row>
    <row r="1000" spans="1:17" x14ac:dyDescent="0.25">
      <c r="A1000">
        <v>1100</v>
      </c>
      <c r="B1000" s="1">
        <v>45280</v>
      </c>
      <c r="C1000" t="s">
        <v>24</v>
      </c>
      <c r="D1000" t="s">
        <v>21</v>
      </c>
      <c r="E1000" s="4">
        <v>1629.47</v>
      </c>
      <c r="F1000" s="2">
        <v>39</v>
      </c>
      <c r="G1000" t="s">
        <v>35</v>
      </c>
      <c r="H1000">
        <v>3685.03</v>
      </c>
      <c r="I1000">
        <v>3743.39</v>
      </c>
      <c r="J1000" t="s">
        <v>30</v>
      </c>
      <c r="K1000" s="5">
        <v>0.01</v>
      </c>
      <c r="L1000" t="s">
        <v>27</v>
      </c>
      <c r="M1000" t="s">
        <v>19</v>
      </c>
      <c r="N1000" t="s">
        <v>47</v>
      </c>
      <c r="O1000" t="str">
        <f t="shared" si="45"/>
        <v>December</v>
      </c>
      <c r="P1000">
        <f t="shared" si="46"/>
        <v>12</v>
      </c>
      <c r="Q1000">
        <f t="shared" si="47"/>
        <v>2023</v>
      </c>
    </row>
    <row r="1001" spans="1:17" x14ac:dyDescent="0.25">
      <c r="A1001">
        <v>1086</v>
      </c>
      <c r="B1001" s="1">
        <v>45154</v>
      </c>
      <c r="C1001" t="s">
        <v>42</v>
      </c>
      <c r="D1001" t="s">
        <v>34</v>
      </c>
      <c r="E1001" s="4">
        <v>4923.93</v>
      </c>
      <c r="F1001" s="2">
        <v>48</v>
      </c>
      <c r="G1001" t="s">
        <v>26</v>
      </c>
      <c r="H1001">
        <v>2632.58</v>
      </c>
      <c r="I1001">
        <v>2926.68</v>
      </c>
      <c r="J1001" t="s">
        <v>17</v>
      </c>
      <c r="K1001" s="5">
        <v>0.14000000000000001</v>
      </c>
      <c r="L1001" t="s">
        <v>18</v>
      </c>
      <c r="M1001" t="s">
        <v>19</v>
      </c>
      <c r="N1001" t="s">
        <v>52</v>
      </c>
      <c r="O1001" t="str">
        <f t="shared" si="45"/>
        <v>August</v>
      </c>
      <c r="P1001">
        <f t="shared" si="46"/>
        <v>8</v>
      </c>
      <c r="Q1001">
        <f t="shared" si="47"/>
        <v>2023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topLeftCell="A7" workbookViewId="0">
      <selection activeCell="L19" sqref="L19"/>
    </sheetView>
  </sheetViews>
  <sheetFormatPr defaultRowHeight="15" x14ac:dyDescent="0.25"/>
  <cols>
    <col min="1" max="1" width="13.42578125" bestFit="1" customWidth="1"/>
    <col min="2" max="2" width="20.5703125" bestFit="1" customWidth="1"/>
    <col min="3" max="3" width="14.5703125" customWidth="1"/>
    <col min="4" max="4" width="13.140625" bestFit="1" customWidth="1"/>
    <col min="5" max="5" width="20.5703125" bestFit="1" customWidth="1"/>
    <col min="6" max="6" width="19" customWidth="1"/>
    <col min="7" max="7" width="13.140625" bestFit="1" customWidth="1"/>
    <col min="8" max="8" width="20.5703125" bestFit="1" customWidth="1"/>
  </cols>
  <sheetData>
    <row r="1" spans="1:8" x14ac:dyDescent="0.25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</row>
    <row r="2" spans="1:8" x14ac:dyDescent="0.25">
      <c r="A2" s="9">
        <f>SUM(Dataset!E:E)</f>
        <v>5019265.2300000023</v>
      </c>
      <c r="B2" s="10">
        <f>SUM(Dataset!F:F)</f>
        <v>25355</v>
      </c>
      <c r="C2" s="11">
        <f>AVERAGE(Dataset!E:E)</f>
        <v>5019.2652300000027</v>
      </c>
      <c r="D2" s="12">
        <f>MAX(Dataset!E:E)</f>
        <v>9989.0400000000009</v>
      </c>
      <c r="E2" s="13">
        <f>MIN(Dataset!E:E)</f>
        <v>100.12</v>
      </c>
      <c r="F2" s="14">
        <f>COUNTA(Dataset!A:A)-1</f>
        <v>1000</v>
      </c>
    </row>
    <row r="7" spans="1:8" x14ac:dyDescent="0.25">
      <c r="A7" s="6" t="s">
        <v>76</v>
      </c>
      <c r="B7" t="s">
        <v>57</v>
      </c>
      <c r="D7" s="6" t="s">
        <v>3</v>
      </c>
      <c r="E7" t="s">
        <v>57</v>
      </c>
      <c r="G7" s="6" t="s">
        <v>78</v>
      </c>
      <c r="H7" t="s">
        <v>57</v>
      </c>
    </row>
    <row r="8" spans="1:8" x14ac:dyDescent="0.25">
      <c r="A8" s="7" t="s">
        <v>63</v>
      </c>
      <c r="B8" s="3">
        <v>495420.37000000011</v>
      </c>
      <c r="D8" s="7" t="s">
        <v>15</v>
      </c>
      <c r="E8" s="3">
        <v>1369612.5100000009</v>
      </c>
      <c r="G8" s="7" t="s">
        <v>29</v>
      </c>
      <c r="H8" s="3">
        <v>1313474.3599999999</v>
      </c>
    </row>
    <row r="9" spans="1:8" x14ac:dyDescent="0.25">
      <c r="A9" s="7" t="s">
        <v>64</v>
      </c>
      <c r="B9" s="3">
        <v>368919.35999999993</v>
      </c>
      <c r="D9" s="7" t="s">
        <v>34</v>
      </c>
      <c r="E9" s="3">
        <v>1259792.93</v>
      </c>
      <c r="G9" s="7" t="s">
        <v>16</v>
      </c>
      <c r="H9" s="3">
        <v>1260517.6900000002</v>
      </c>
    </row>
    <row r="10" spans="1:8" x14ac:dyDescent="0.25">
      <c r="A10" s="7" t="s">
        <v>65</v>
      </c>
      <c r="B10" s="3">
        <v>402638.77000000008</v>
      </c>
      <c r="D10" s="7" t="s">
        <v>21</v>
      </c>
      <c r="E10" s="3">
        <v>1235608.9299999997</v>
      </c>
      <c r="G10" s="7" t="s">
        <v>35</v>
      </c>
      <c r="H10" s="3">
        <v>1243499.6400000006</v>
      </c>
    </row>
    <row r="11" spans="1:8" x14ac:dyDescent="0.25">
      <c r="A11" s="7" t="s">
        <v>66</v>
      </c>
      <c r="B11" s="3">
        <v>438992.61000000004</v>
      </c>
      <c r="D11" s="7" t="s">
        <v>25</v>
      </c>
      <c r="E11" s="3">
        <v>1154250.8600000006</v>
      </c>
      <c r="G11" s="7" t="s">
        <v>26</v>
      </c>
      <c r="H11" s="3">
        <v>1201773.5399999998</v>
      </c>
    </row>
    <row r="12" spans="1:8" x14ac:dyDescent="0.25">
      <c r="A12" s="7" t="s">
        <v>67</v>
      </c>
      <c r="B12" s="3">
        <v>389078.75999999989</v>
      </c>
      <c r="D12" s="7" t="s">
        <v>75</v>
      </c>
      <c r="E12" s="3">
        <v>5019265.2300000004</v>
      </c>
      <c r="G12" s="7" t="s">
        <v>75</v>
      </c>
      <c r="H12" s="3">
        <v>5019265.2300000004</v>
      </c>
    </row>
    <row r="13" spans="1:8" x14ac:dyDescent="0.25">
      <c r="A13" s="7" t="s">
        <v>68</v>
      </c>
      <c r="B13" s="3">
        <v>418458.34000000008</v>
      </c>
    </row>
    <row r="14" spans="1:8" x14ac:dyDescent="0.25">
      <c r="A14" s="7" t="s">
        <v>69</v>
      </c>
      <c r="B14" s="3">
        <v>374242.88</v>
      </c>
    </row>
    <row r="15" spans="1:8" x14ac:dyDescent="0.25">
      <c r="A15" s="7" t="s">
        <v>70</v>
      </c>
      <c r="B15" s="3">
        <v>443171.28</v>
      </c>
      <c r="D15" s="6" t="s">
        <v>77</v>
      </c>
      <c r="E15" t="s">
        <v>57</v>
      </c>
      <c r="G15" s="6" t="s">
        <v>79</v>
      </c>
      <c r="H15" t="s">
        <v>57</v>
      </c>
    </row>
    <row r="16" spans="1:8" x14ac:dyDescent="0.25">
      <c r="A16" s="7" t="s">
        <v>71</v>
      </c>
      <c r="B16" s="3">
        <v>367837.60000000003</v>
      </c>
      <c r="D16" s="7" t="s">
        <v>24</v>
      </c>
      <c r="E16" s="3">
        <v>1141737.3599999996</v>
      </c>
      <c r="G16" s="7" t="s">
        <v>17</v>
      </c>
      <c r="H16" s="3">
        <v>2513006.930000002</v>
      </c>
    </row>
    <row r="17" spans="1:8" x14ac:dyDescent="0.25">
      <c r="A17" s="7" t="s">
        <v>72</v>
      </c>
      <c r="B17" s="3">
        <v>460378.78000000014</v>
      </c>
      <c r="D17" s="7" t="s">
        <v>14</v>
      </c>
      <c r="E17" s="3">
        <v>1080990.6300000006</v>
      </c>
      <c r="G17" s="7" t="s">
        <v>30</v>
      </c>
      <c r="H17" s="3">
        <v>2506258.299999998</v>
      </c>
    </row>
    <row r="18" spans="1:8" x14ac:dyDescent="0.25">
      <c r="A18" s="7" t="s">
        <v>73</v>
      </c>
      <c r="B18" s="3">
        <v>467482.89999999985</v>
      </c>
      <c r="D18" s="7" t="s">
        <v>38</v>
      </c>
      <c r="E18" s="3">
        <v>970183.99000000022</v>
      </c>
      <c r="G18" s="7" t="s">
        <v>75</v>
      </c>
      <c r="H18" s="3">
        <v>5019265.2300000004</v>
      </c>
    </row>
    <row r="19" spans="1:8" x14ac:dyDescent="0.25">
      <c r="A19" s="7" t="s">
        <v>74</v>
      </c>
      <c r="B19" s="3">
        <v>392643.57999999984</v>
      </c>
      <c r="D19" s="7" t="s">
        <v>42</v>
      </c>
      <c r="E19" s="3">
        <v>965541.77000000048</v>
      </c>
    </row>
    <row r="20" spans="1:8" x14ac:dyDescent="0.25">
      <c r="A20" s="7" t="s">
        <v>75</v>
      </c>
      <c r="B20" s="3">
        <v>5019265.2300000004</v>
      </c>
      <c r="D20" s="7" t="s">
        <v>33</v>
      </c>
      <c r="E20" s="3">
        <v>860811.48</v>
      </c>
    </row>
    <row r="21" spans="1:8" x14ac:dyDescent="0.25">
      <c r="D21" s="7" t="s">
        <v>75</v>
      </c>
      <c r="E21" s="3">
        <v>5019265.2300000004</v>
      </c>
    </row>
  </sheetData>
  <pageMargins left="0.7" right="0.7" top="0.75" bottom="0.75" header="0.3" footer="0.3"/>
  <pageSetup orientation="portrait" r:id="rId6"/>
  <drawing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2026-06-23T15:46:22Z</dcterms:created>
  <dcterms:modified xsi:type="dcterms:W3CDTF">2026-06-23T17:52:06Z</dcterms:modified>
</cp:coreProperties>
</file>